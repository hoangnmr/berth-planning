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9f782525ea99d260/CODE/v0/data/"/>
    </mc:Choice>
  </mc:AlternateContent>
  <xr:revisionPtr revIDLastSave="44" documentId="13_ncr:1_{B86E67B9-AEBA-453B-8214-014FC6300948}" xr6:coauthVersionLast="47" xr6:coauthVersionMax="47" xr10:uidLastSave="{64F4B0D3-AFE7-459D-AAB4-BB3F684B3090}"/>
  <bookViews>
    <workbookView xWindow="-108" yWindow="-108" windowWidth="23256" windowHeight="13896" xr2:uid="{00000000-000D-0000-FFFF-FFFF00000000}"/>
  </bookViews>
  <sheets>
    <sheet name="Ships" sheetId="1" r:id="rId1"/>
    <sheet name="Ships (2)" sheetId="2" r:id="rId2"/>
  </sheets>
  <definedNames>
    <definedName name="_xlnm._FilterDatabase" localSheetId="0" hidden="1">Ships!$A$1:$O$53</definedName>
    <definedName name="_xlnm._FilterDatabase" localSheetId="1" hidden="1">'Ships (2)'!$A$1:$H$53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2" l="1"/>
  <c r="D65" i="2" s="1"/>
  <c r="C66" i="2"/>
  <c r="D66" i="2" s="1"/>
  <c r="C67" i="2"/>
  <c r="D67" i="2" s="1"/>
  <c r="C68" i="2"/>
  <c r="D68" i="2" s="1"/>
  <c r="C64" i="2"/>
  <c r="J54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2" i="2"/>
  <c r="I54" i="2"/>
  <c r="C58" i="2"/>
  <c r="C59" i="2"/>
  <c r="C60" i="2"/>
  <c r="C61" i="2"/>
  <c r="C57" i="2"/>
  <c r="D57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2" i="2"/>
  <c r="E52" i="2"/>
  <c r="E51" i="2"/>
  <c r="E50" i="2"/>
  <c r="E49" i="2"/>
  <c r="E48" i="2"/>
  <c r="E47" i="2"/>
  <c r="E46" i="2"/>
  <c r="E45" i="2"/>
  <c r="D44" i="2"/>
  <c r="E43" i="2"/>
  <c r="E42" i="2"/>
  <c r="E41" i="2"/>
  <c r="E40" i="2"/>
  <c r="E37" i="2"/>
  <c r="E36" i="2"/>
  <c r="D35" i="2"/>
  <c r="D34" i="2"/>
  <c r="E33" i="2"/>
  <c r="D32" i="2"/>
  <c r="E31" i="2"/>
  <c r="E30" i="2"/>
  <c r="D29" i="2"/>
  <c r="E28" i="2"/>
  <c r="E27" i="2"/>
  <c r="E26" i="2"/>
  <c r="E25" i="2"/>
  <c r="E24" i="2"/>
  <c r="D23" i="2"/>
  <c r="D22" i="2"/>
  <c r="D21" i="2"/>
  <c r="D20" i="2"/>
  <c r="D19" i="2"/>
  <c r="E18" i="2"/>
  <c r="E17" i="2"/>
  <c r="E16" i="2"/>
  <c r="E15" i="2"/>
  <c r="E14" i="2"/>
  <c r="E13" i="2"/>
  <c r="E12" i="2"/>
  <c r="E11" i="2"/>
  <c r="D10" i="2"/>
  <c r="E9" i="2"/>
  <c r="E8" i="2"/>
  <c r="E7" i="2"/>
  <c r="D6" i="2"/>
  <c r="E5" i="2"/>
  <c r="E4" i="2"/>
  <c r="E3" i="2"/>
  <c r="D2" i="2"/>
  <c r="F52" i="1"/>
  <c r="F51" i="1"/>
  <c r="F50" i="1"/>
  <c r="F49" i="1"/>
  <c r="C69" i="2" l="1"/>
  <c r="D64" i="2"/>
  <c r="F48" i="1"/>
  <c r="F47" i="1"/>
  <c r="F46" i="1"/>
  <c r="E44" i="1"/>
  <c r="F43" i="1"/>
  <c r="F45" i="1"/>
  <c r="F42" i="1" l="1"/>
  <c r="F41" i="1"/>
  <c r="F40" i="1"/>
  <c r="F37" i="1" l="1"/>
  <c r="F36" i="1"/>
  <c r="E35" i="1"/>
  <c r="E34" i="1" l="1"/>
  <c r="F33" i="1"/>
  <c r="E32" i="1" l="1"/>
  <c r="F31" i="1"/>
  <c r="F30" i="1"/>
  <c r="E29" i="1"/>
  <c r="F28" i="1"/>
  <c r="F27" i="1"/>
  <c r="F26" i="1"/>
  <c r="F25" i="1"/>
  <c r="F24" i="1"/>
  <c r="E23" i="1"/>
  <c r="E22" i="1"/>
  <c r="E21" i="1"/>
  <c r="E20" i="1"/>
  <c r="E19" i="1"/>
  <c r="F18" i="1"/>
  <c r="F17" i="1"/>
  <c r="F16" i="1"/>
  <c r="F15" i="1"/>
  <c r="F14" i="1"/>
  <c r="F13" i="1"/>
  <c r="F12" i="1"/>
  <c r="F11" i="1"/>
  <c r="E10" i="1"/>
  <c r="F9" i="1"/>
  <c r="F8" i="1"/>
  <c r="F7" i="1"/>
  <c r="E6" i="1"/>
  <c r="F5" i="1"/>
  <c r="F4" i="1"/>
  <c r="F3" i="1"/>
  <c r="E2" i="1"/>
</calcChain>
</file>

<file path=xl/sharedStrings.xml><?xml version="1.0" encoding="utf-8"?>
<sst xmlns="http://schemas.openxmlformats.org/spreadsheetml/2006/main" count="362" uniqueCount="63">
  <si>
    <t>id</t>
  </si>
  <si>
    <t>name</t>
  </si>
  <si>
    <t>status</t>
  </si>
  <si>
    <t>berthName</t>
  </si>
  <si>
    <t>startPosition</t>
  </si>
  <si>
    <t>endPosition</t>
  </si>
  <si>
    <t>eta</t>
  </si>
  <si>
    <t>etd</t>
  </si>
  <si>
    <t>cargoType</t>
  </si>
  <si>
    <t>cargo</t>
  </si>
  <si>
    <t>dwt</t>
  </si>
  <si>
    <t>loa</t>
  </si>
  <si>
    <t>beam</t>
  </si>
  <si>
    <t>notes</t>
  </si>
  <si>
    <t>contFlag</t>
  </si>
  <si>
    <t>cargoUnit</t>
  </si>
  <si>
    <t>SHIP_001</t>
  </si>
  <si>
    <t>K12C</t>
  </si>
  <si>
    <t>Container</t>
  </si>
  <si>
    <t>Priority client</t>
  </si>
  <si>
    <t>TEU</t>
  </si>
  <si>
    <t>SHIP_002</t>
  </si>
  <si>
    <t>BERTHED</t>
  </si>
  <si>
    <t>K12A</t>
  </si>
  <si>
    <t>Steel import</t>
  </si>
  <si>
    <t>tons</t>
  </si>
  <si>
    <t>SHIP_003</t>
  </si>
  <si>
    <t>Waiting for berth</t>
  </si>
  <si>
    <t>SHIP_004</t>
  </si>
  <si>
    <t>TT2</t>
  </si>
  <si>
    <t>Grain bulk</t>
  </si>
  <si>
    <t>Sắt thép</t>
  </si>
  <si>
    <t>VIET THUAN 215-06</t>
  </si>
  <si>
    <t>GLOBAL 88</t>
  </si>
  <si>
    <t>TU CUONG 68</t>
  </si>
  <si>
    <t>VIET THUAN 12-07</t>
  </si>
  <si>
    <t>ATN LUCKY</t>
  </si>
  <si>
    <t>TRUNG THANG 66</t>
  </si>
  <si>
    <t>DINH GIA 79</t>
  </si>
  <si>
    <t>VIET THUAN 235-06</t>
  </si>
  <si>
    <t>XIN HAI TONG 37</t>
  </si>
  <si>
    <t>BAI MEI 8</t>
  </si>
  <si>
    <t>NEWSUN SYMPHONY</t>
  </si>
  <si>
    <t>GIA LINH 368</t>
  </si>
  <si>
    <t>VIET THUAN 10-05</t>
  </si>
  <si>
    <t>JUMEIRAH BEACH</t>
  </si>
  <si>
    <t>TS HONOUR</t>
  </si>
  <si>
    <t>VIET THUAN 12-06</t>
  </si>
  <si>
    <t>VIET THUAN 12-01</t>
  </si>
  <si>
    <t>HAI PHAT 135</t>
  </si>
  <si>
    <t>LI FA 3</t>
  </si>
  <si>
    <t>BAO QIAO 77</t>
  </si>
  <si>
    <t>TOMINI OROSHI</t>
  </si>
  <si>
    <t>TRUNG THANG 56</t>
  </si>
  <si>
    <t>K12</t>
  </si>
  <si>
    <t>FORTUNE NAVIGATOR</t>
  </si>
  <si>
    <t>BIEN DONG MARINER</t>
  </si>
  <si>
    <t>BIEN DONG NAVIGATOR</t>
  </si>
  <si>
    <t>FORTUNE FREIGHTER</t>
  </si>
  <si>
    <t>BIEN DONG STAR</t>
  </si>
  <si>
    <t>VIMC PIONEER</t>
  </si>
  <si>
    <t>NEWSUN GREEN 03</t>
  </si>
  <si>
    <t>K12B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</si>
</sst>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h:mm\ \-\ dd/mm/yyyy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Times New Roman"/>
      <family val="1"/>
    </font>
    <font>
      <sz val="13"/>
      <color theme="1"/>
      <name val="Calibri"/>
      <family val="2"/>
      <scheme val="minor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1" applyNumberFormat="1" applyFont="1" applyBorder="1" applyAlignment="1">
      <alignment horizontal="center" vertical="center"/>
    </xf>
    <xf numFmtId="0" fontId="3" fillId="0" borderId="1" xfId="0" applyFont="1" applyBorder="1"/>
    <xf numFmtId="43" fontId="3" fillId="0" borderId="0" xfId="1" applyFont="1"/>
    <xf numFmtId="43" fontId="3" fillId="0" borderId="0" xfId="0" applyNumberFormat="1" applyFont="1"/>
    <xf numFmtId="9" fontId="3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53"/>
  <sheetViews>
    <sheetView tabSelected="1" zoomScale="70" zoomScaleNormal="70" zoomScaleSheetLayoutView="100" workbookViewId="0">
      <selection activeCell="L31" sqref="L31"/>
    </sheetView>
  </sheetViews>
  <sheetFormatPr defaultColWidth="9" defaultRowHeight="17.399999999999999" x14ac:dyDescent="0.35"/>
  <cols>
    <col min="1" max="1" width="12.8984375" style="2" customWidth="1"/>
    <col min="2" max="2" width="24" style="2" bestFit="1" customWidth="1"/>
    <col min="3" max="3" width="12.8984375" style="2" customWidth="1"/>
    <col min="4" max="4" width="10.8984375" style="2" customWidth="1"/>
    <col min="5" max="6" width="8.8984375" style="2" customWidth="1"/>
    <col min="7" max="8" width="20.8984375" style="2" customWidth="1"/>
    <col min="9" max="10" width="12.8984375" style="2" customWidth="1"/>
    <col min="11" max="11" width="10.8984375" style="2" customWidth="1"/>
    <col min="12" max="13" width="8.8984375" style="2" customWidth="1"/>
    <col min="14" max="14" width="20.8984375" style="2" customWidth="1"/>
    <col min="15" max="15" width="8.8984375" style="2" customWidth="1"/>
    <col min="16" max="16" width="10.8984375" style="2" customWidth="1"/>
    <col min="17" max="16384" width="9" style="2"/>
  </cols>
  <sheetData>
    <row r="1" spans="1:1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idden="1" x14ac:dyDescent="0.35">
      <c r="A2" s="2" t="s">
        <v>16</v>
      </c>
      <c r="B2" s="3" t="s">
        <v>32</v>
      </c>
      <c r="C2" s="2" t="s">
        <v>22</v>
      </c>
      <c r="D2" s="4" t="s">
        <v>17</v>
      </c>
      <c r="E2" s="3">
        <f>F2-168</f>
        <v>7</v>
      </c>
      <c r="F2" s="3">
        <v>175</v>
      </c>
      <c r="G2" s="5">
        <v>45936.739583333336</v>
      </c>
      <c r="H2" s="5">
        <v>45938.069444444445</v>
      </c>
      <c r="I2" s="2" t="s">
        <v>31</v>
      </c>
      <c r="J2" s="6">
        <v>11318</v>
      </c>
      <c r="K2" s="2">
        <v>50000</v>
      </c>
      <c r="L2" s="2">
        <v>180</v>
      </c>
      <c r="M2" s="2">
        <v>28</v>
      </c>
      <c r="N2" s="2" t="s">
        <v>19</v>
      </c>
      <c r="O2" s="2">
        <v>1</v>
      </c>
      <c r="P2" s="2" t="s">
        <v>20</v>
      </c>
    </row>
    <row r="3" spans="1:16" hidden="1" x14ac:dyDescent="0.35">
      <c r="A3" s="2" t="s">
        <v>21</v>
      </c>
      <c r="B3" s="3" t="s">
        <v>33</v>
      </c>
      <c r="C3" s="2" t="s">
        <v>22</v>
      </c>
      <c r="D3" s="4" t="s">
        <v>54</v>
      </c>
      <c r="E3" s="3">
        <v>5</v>
      </c>
      <c r="F3" s="3">
        <f>E3+80</f>
        <v>85</v>
      </c>
      <c r="G3" s="5">
        <v>45937.166666666664</v>
      </c>
      <c r="H3" s="5">
        <v>45938.069444444445</v>
      </c>
      <c r="I3" s="2" t="s">
        <v>31</v>
      </c>
      <c r="J3" s="6">
        <v>444</v>
      </c>
      <c r="K3" s="2">
        <v>40000</v>
      </c>
      <c r="L3" s="2">
        <v>165</v>
      </c>
      <c r="M3" s="2">
        <v>26</v>
      </c>
      <c r="N3" s="2" t="s">
        <v>24</v>
      </c>
      <c r="O3" s="2">
        <v>0</v>
      </c>
      <c r="P3" s="2" t="s">
        <v>25</v>
      </c>
    </row>
    <row r="4" spans="1:16" hidden="1" x14ac:dyDescent="0.35">
      <c r="A4" s="2" t="s">
        <v>26</v>
      </c>
      <c r="B4" s="3" t="s">
        <v>34</v>
      </c>
      <c r="C4" s="2" t="s">
        <v>22</v>
      </c>
      <c r="D4" s="4" t="s">
        <v>29</v>
      </c>
      <c r="E4" s="3">
        <v>12</v>
      </c>
      <c r="F4" s="3">
        <f>E4+117</f>
        <v>129</v>
      </c>
      <c r="G4" s="5">
        <v>45937.590277777781</v>
      </c>
      <c r="H4" s="5">
        <v>45939.611111111109</v>
      </c>
      <c r="I4" s="2" t="s">
        <v>31</v>
      </c>
      <c r="J4" s="6">
        <v>8840</v>
      </c>
      <c r="K4" s="2">
        <v>30000</v>
      </c>
      <c r="L4" s="2">
        <v>150</v>
      </c>
      <c r="M4" s="2">
        <v>24</v>
      </c>
      <c r="N4" s="2" t="s">
        <v>27</v>
      </c>
      <c r="O4" s="2">
        <v>1</v>
      </c>
      <c r="P4" s="2" t="s">
        <v>20</v>
      </c>
    </row>
    <row r="5" spans="1:16" hidden="1" x14ac:dyDescent="0.35">
      <c r="A5" s="2" t="s">
        <v>28</v>
      </c>
      <c r="B5" s="3" t="s">
        <v>35</v>
      </c>
      <c r="C5" s="2" t="s">
        <v>22</v>
      </c>
      <c r="D5" s="4" t="s">
        <v>54</v>
      </c>
      <c r="E5" s="3">
        <v>110</v>
      </c>
      <c r="F5" s="3">
        <f>E5+120</f>
        <v>230</v>
      </c>
      <c r="G5" s="5">
        <v>45939.131944444445</v>
      </c>
      <c r="H5" s="5">
        <v>45939.618055555555</v>
      </c>
      <c r="I5" s="2" t="s">
        <v>31</v>
      </c>
      <c r="J5" s="6">
        <v>1105</v>
      </c>
      <c r="K5" s="2">
        <v>20000</v>
      </c>
      <c r="L5" s="2">
        <v>170</v>
      </c>
      <c r="M5" s="2">
        <v>27</v>
      </c>
      <c r="N5" s="2" t="s">
        <v>30</v>
      </c>
      <c r="O5" s="2">
        <v>0</v>
      </c>
      <c r="P5" s="2" t="s">
        <v>25</v>
      </c>
    </row>
    <row r="6" spans="1:16" hidden="1" x14ac:dyDescent="0.35">
      <c r="B6" s="3" t="s">
        <v>36</v>
      </c>
      <c r="C6" s="2" t="s">
        <v>22</v>
      </c>
      <c r="D6" s="4" t="s">
        <v>17</v>
      </c>
      <c r="E6" s="3">
        <f>F6-180</f>
        <v>-5</v>
      </c>
      <c r="F6" s="3">
        <v>175</v>
      </c>
      <c r="G6" s="5">
        <v>45941.284722222219</v>
      </c>
      <c r="H6" s="5">
        <v>45942.958333333336</v>
      </c>
      <c r="I6" s="2" t="s">
        <v>31</v>
      </c>
      <c r="J6" s="6">
        <v>30606</v>
      </c>
      <c r="K6" s="2">
        <v>20000</v>
      </c>
      <c r="L6" s="2">
        <v>180</v>
      </c>
      <c r="M6" s="2">
        <v>28</v>
      </c>
    </row>
    <row r="7" spans="1:16" hidden="1" x14ac:dyDescent="0.35">
      <c r="B7" s="3" t="s">
        <v>37</v>
      </c>
      <c r="C7" s="2" t="s">
        <v>22</v>
      </c>
      <c r="D7" s="4" t="s">
        <v>29</v>
      </c>
      <c r="E7" s="3">
        <v>25</v>
      </c>
      <c r="F7" s="3">
        <f>E7+110</f>
        <v>135</v>
      </c>
      <c r="G7" s="5">
        <v>45941.65625</v>
      </c>
      <c r="H7" s="5">
        <v>45943.09375</v>
      </c>
      <c r="I7" s="2" t="s">
        <v>31</v>
      </c>
      <c r="J7" s="6">
        <v>4475</v>
      </c>
      <c r="K7" s="2">
        <v>20000</v>
      </c>
      <c r="L7" s="2">
        <v>108</v>
      </c>
      <c r="M7" s="2">
        <v>28</v>
      </c>
    </row>
    <row r="8" spans="1:16" hidden="1" x14ac:dyDescent="0.35">
      <c r="B8" s="3" t="s">
        <v>38</v>
      </c>
      <c r="C8" s="2" t="s">
        <v>22</v>
      </c>
      <c r="D8" s="4" t="s">
        <v>23</v>
      </c>
      <c r="E8" s="3">
        <v>15</v>
      </c>
      <c r="F8" s="3">
        <f>E8+120</f>
        <v>135</v>
      </c>
      <c r="G8" s="5">
        <v>45941.819444444445</v>
      </c>
      <c r="H8" s="5">
        <v>45942.125</v>
      </c>
      <c r="I8" s="2" t="s">
        <v>31</v>
      </c>
      <c r="J8" s="6">
        <v>5635</v>
      </c>
      <c r="K8" s="2">
        <v>20000</v>
      </c>
      <c r="L8" s="2">
        <v>100</v>
      </c>
      <c r="M8" s="2">
        <v>28</v>
      </c>
    </row>
    <row r="9" spans="1:16" hidden="1" x14ac:dyDescent="0.35">
      <c r="B9" s="3" t="s">
        <v>39</v>
      </c>
      <c r="C9" s="2" t="s">
        <v>22</v>
      </c>
      <c r="D9" s="4" t="s">
        <v>23</v>
      </c>
      <c r="E9" s="3">
        <v>7</v>
      </c>
      <c r="F9" s="3">
        <f>E9+147</f>
        <v>154</v>
      </c>
      <c r="G9" s="5">
        <v>45943.288194444445</v>
      </c>
      <c r="H9" s="5">
        <v>45944.291666666664</v>
      </c>
      <c r="I9" s="2" t="s">
        <v>31</v>
      </c>
      <c r="J9" s="6">
        <v>5987</v>
      </c>
      <c r="K9" s="2">
        <v>20000</v>
      </c>
      <c r="L9" s="2">
        <v>147</v>
      </c>
      <c r="M9" s="2">
        <v>28</v>
      </c>
    </row>
    <row r="10" spans="1:16" hidden="1" x14ac:dyDescent="0.35">
      <c r="B10" s="3" t="s">
        <v>40</v>
      </c>
      <c r="C10" s="2" t="s">
        <v>22</v>
      </c>
      <c r="D10" s="4" t="s">
        <v>17</v>
      </c>
      <c r="E10" s="3">
        <f>F10-190</f>
        <v>-15</v>
      </c>
      <c r="F10" s="3">
        <v>175</v>
      </c>
      <c r="G10" s="5">
        <v>45943.239583333336</v>
      </c>
      <c r="H10" s="5">
        <v>45945.826388888891</v>
      </c>
      <c r="I10" s="2" t="s">
        <v>31</v>
      </c>
      <c r="J10" s="6">
        <v>5243</v>
      </c>
      <c r="K10" s="2">
        <v>20000</v>
      </c>
      <c r="L10" s="2">
        <v>190</v>
      </c>
      <c r="M10" s="2">
        <v>28</v>
      </c>
    </row>
    <row r="11" spans="1:16" hidden="1" x14ac:dyDescent="0.35">
      <c r="B11" s="3" t="s">
        <v>41</v>
      </c>
      <c r="C11" s="2" t="s">
        <v>22</v>
      </c>
      <c r="D11" s="4" t="s">
        <v>54</v>
      </c>
      <c r="E11" s="3">
        <v>170</v>
      </c>
      <c r="F11" s="3">
        <f>E11+178</f>
        <v>348</v>
      </c>
      <c r="G11" s="5">
        <v>45943.743055555555</v>
      </c>
      <c r="H11" s="5">
        <v>45945.041666666664</v>
      </c>
      <c r="I11" s="2" t="s">
        <v>31</v>
      </c>
      <c r="J11" s="6">
        <v>20536</v>
      </c>
      <c r="K11" s="2">
        <v>20000</v>
      </c>
      <c r="L11" s="2">
        <v>178</v>
      </c>
      <c r="M11" s="2">
        <v>28</v>
      </c>
    </row>
    <row r="12" spans="1:16" hidden="1" x14ac:dyDescent="0.35">
      <c r="B12" s="3" t="s">
        <v>42</v>
      </c>
      <c r="C12" s="2" t="s">
        <v>22</v>
      </c>
      <c r="D12" s="4" t="s">
        <v>29</v>
      </c>
      <c r="E12" s="3">
        <v>20</v>
      </c>
      <c r="F12" s="3">
        <f>E12+170</f>
        <v>190</v>
      </c>
      <c r="G12" s="5">
        <v>45943.822916666664</v>
      </c>
      <c r="H12" s="5">
        <v>45946.625</v>
      </c>
      <c r="I12" s="2" t="s">
        <v>31</v>
      </c>
      <c r="J12" s="6">
        <v>23672</v>
      </c>
      <c r="K12" s="2">
        <v>20000</v>
      </c>
      <c r="L12" s="2">
        <v>170</v>
      </c>
      <c r="M12" s="2">
        <v>28</v>
      </c>
    </row>
    <row r="13" spans="1:16" hidden="1" x14ac:dyDescent="0.35">
      <c r="B13" s="3" t="s">
        <v>43</v>
      </c>
      <c r="C13" s="2" t="s">
        <v>22</v>
      </c>
      <c r="D13" s="4" t="s">
        <v>54</v>
      </c>
      <c r="E13" s="3">
        <v>93</v>
      </c>
      <c r="F13" s="3">
        <f>E13+117</f>
        <v>210</v>
      </c>
      <c r="G13" s="5">
        <v>45945.972222222219</v>
      </c>
      <c r="H13" s="5">
        <v>45948.451388888891</v>
      </c>
      <c r="I13" s="2" t="s">
        <v>31</v>
      </c>
      <c r="J13" s="6">
        <v>13466</v>
      </c>
      <c r="K13" s="2">
        <v>20000</v>
      </c>
      <c r="L13" s="2">
        <v>116</v>
      </c>
      <c r="M13" s="2">
        <v>28</v>
      </c>
    </row>
    <row r="14" spans="1:16" hidden="1" x14ac:dyDescent="0.35">
      <c r="B14" s="3" t="s">
        <v>44</v>
      </c>
      <c r="C14" s="2" t="s">
        <v>22</v>
      </c>
      <c r="D14" s="4" t="s">
        <v>54</v>
      </c>
      <c r="E14" s="3">
        <v>225</v>
      </c>
      <c r="F14" s="3">
        <f>E14+120</f>
        <v>345</v>
      </c>
      <c r="G14" s="5">
        <v>45946.916666666664</v>
      </c>
      <c r="H14" s="5">
        <v>45948.458333333336</v>
      </c>
      <c r="I14" s="2" t="s">
        <v>31</v>
      </c>
      <c r="J14" s="6">
        <v>10665</v>
      </c>
      <c r="K14" s="2">
        <v>20000</v>
      </c>
      <c r="L14" s="2">
        <v>119</v>
      </c>
      <c r="M14" s="2">
        <v>28</v>
      </c>
    </row>
    <row r="15" spans="1:16" hidden="1" x14ac:dyDescent="0.35">
      <c r="B15" s="3" t="s">
        <v>45</v>
      </c>
      <c r="C15" s="2" t="s">
        <v>22</v>
      </c>
      <c r="D15" s="4" t="s">
        <v>29</v>
      </c>
      <c r="E15" s="3">
        <v>20</v>
      </c>
      <c r="F15" s="3">
        <f>E15+180</f>
        <v>200</v>
      </c>
      <c r="G15" s="5">
        <v>45949.645833333336</v>
      </c>
      <c r="H15" s="5">
        <v>45951.048611111109</v>
      </c>
      <c r="I15" s="2" t="s">
        <v>31</v>
      </c>
      <c r="J15" s="6">
        <v>8654</v>
      </c>
      <c r="K15" s="2">
        <v>20000</v>
      </c>
      <c r="L15" s="2">
        <v>180</v>
      </c>
      <c r="M15" s="2">
        <v>28</v>
      </c>
    </row>
    <row r="16" spans="1:16" hidden="1" x14ac:dyDescent="0.35">
      <c r="B16" s="3" t="s">
        <v>32</v>
      </c>
      <c r="C16" s="2" t="s">
        <v>22</v>
      </c>
      <c r="D16" s="4" t="s">
        <v>23</v>
      </c>
      <c r="E16" s="3">
        <v>12</v>
      </c>
      <c r="F16" s="3">
        <f>E16+168</f>
        <v>180</v>
      </c>
      <c r="G16" s="5">
        <v>45950.020833333336</v>
      </c>
      <c r="H16" s="5">
        <v>45951.576388888891</v>
      </c>
      <c r="I16" s="2" t="s">
        <v>31</v>
      </c>
      <c r="J16" s="6">
        <v>3703</v>
      </c>
      <c r="K16" s="2">
        <v>20000</v>
      </c>
      <c r="L16" s="2">
        <v>167</v>
      </c>
      <c r="M16" s="2">
        <v>28</v>
      </c>
    </row>
    <row r="17" spans="2:13" hidden="1" x14ac:dyDescent="0.35">
      <c r="B17" s="3" t="s">
        <v>34</v>
      </c>
      <c r="C17" s="2" t="s">
        <v>22</v>
      </c>
      <c r="D17" s="4" t="s">
        <v>23</v>
      </c>
      <c r="E17" s="3">
        <v>15</v>
      </c>
      <c r="F17" s="3">
        <f>E17+117</f>
        <v>132</v>
      </c>
      <c r="G17" s="5">
        <v>45952.8125</v>
      </c>
      <c r="H17" s="5">
        <v>45954.256944444445</v>
      </c>
      <c r="I17" s="2" t="s">
        <v>31</v>
      </c>
      <c r="J17" s="6">
        <v>10935</v>
      </c>
      <c r="K17" s="2">
        <v>20000</v>
      </c>
      <c r="L17" s="2">
        <v>117</v>
      </c>
      <c r="M17" s="2">
        <v>28</v>
      </c>
    </row>
    <row r="18" spans="2:13" hidden="1" x14ac:dyDescent="0.35">
      <c r="B18" s="3" t="s">
        <v>46</v>
      </c>
      <c r="C18" s="2" t="s">
        <v>22</v>
      </c>
      <c r="D18" s="4" t="s">
        <v>54</v>
      </c>
      <c r="E18" s="3">
        <v>183</v>
      </c>
      <c r="F18" s="3">
        <f>E18+182</f>
        <v>365</v>
      </c>
      <c r="G18" s="5">
        <v>45953.572916666664</v>
      </c>
      <c r="H18" s="5">
        <v>45963.885416666664</v>
      </c>
      <c r="I18" s="2" t="s">
        <v>31</v>
      </c>
      <c r="J18" s="6">
        <v>9914</v>
      </c>
      <c r="K18" s="2">
        <v>20000</v>
      </c>
      <c r="L18" s="2">
        <v>182</v>
      </c>
      <c r="M18" s="2">
        <v>28</v>
      </c>
    </row>
    <row r="19" spans="2:13" hidden="1" x14ac:dyDescent="0.35">
      <c r="B19" s="3" t="s">
        <v>47</v>
      </c>
      <c r="C19" s="2" t="s">
        <v>22</v>
      </c>
      <c r="D19" s="4" t="s">
        <v>29</v>
      </c>
      <c r="E19" s="3">
        <f>F19-120</f>
        <v>117</v>
      </c>
      <c r="F19" s="3">
        <v>237</v>
      </c>
      <c r="G19" s="5">
        <v>45954.131944444445</v>
      </c>
      <c r="H19" s="5">
        <v>45955.3125</v>
      </c>
      <c r="I19" s="2" t="s">
        <v>31</v>
      </c>
      <c r="J19" s="6">
        <v>7394</v>
      </c>
      <c r="K19" s="2">
        <v>20000</v>
      </c>
      <c r="L19" s="2">
        <v>119</v>
      </c>
      <c r="M19" s="2">
        <v>28</v>
      </c>
    </row>
    <row r="20" spans="2:13" hidden="1" x14ac:dyDescent="0.35">
      <c r="B20" s="3" t="s">
        <v>35</v>
      </c>
      <c r="C20" s="2" t="s">
        <v>22</v>
      </c>
      <c r="D20" s="4" t="s">
        <v>17</v>
      </c>
      <c r="E20" s="3">
        <f>F20-120</f>
        <v>55</v>
      </c>
      <c r="F20" s="3">
        <v>175</v>
      </c>
      <c r="G20" s="5">
        <v>45954.145833333336</v>
      </c>
      <c r="H20" s="5">
        <v>45954.791666666664</v>
      </c>
      <c r="I20" s="2" t="s">
        <v>31</v>
      </c>
      <c r="J20" s="6">
        <v>7387</v>
      </c>
      <c r="K20" s="2">
        <v>20000</v>
      </c>
      <c r="L20" s="2">
        <v>120</v>
      </c>
      <c r="M20" s="2">
        <v>28</v>
      </c>
    </row>
    <row r="21" spans="2:13" hidden="1" x14ac:dyDescent="0.35">
      <c r="B21" s="3" t="s">
        <v>48</v>
      </c>
      <c r="C21" s="2" t="s">
        <v>22</v>
      </c>
      <c r="D21" s="4" t="s">
        <v>23</v>
      </c>
      <c r="E21" s="3">
        <f>F21-125</f>
        <v>75</v>
      </c>
      <c r="F21" s="3">
        <v>200</v>
      </c>
      <c r="G21" s="5">
        <v>45955.173611111109</v>
      </c>
      <c r="H21" s="5">
        <v>45957.243055555555</v>
      </c>
      <c r="I21" s="2" t="s">
        <v>31</v>
      </c>
      <c r="J21" s="6">
        <v>8443</v>
      </c>
      <c r="K21" s="2">
        <v>20000</v>
      </c>
      <c r="L21" s="2">
        <v>125</v>
      </c>
      <c r="M21" s="2">
        <v>28</v>
      </c>
    </row>
    <row r="22" spans="2:13" hidden="1" x14ac:dyDescent="0.35">
      <c r="B22" s="3" t="s">
        <v>49</v>
      </c>
      <c r="C22" s="2" t="s">
        <v>22</v>
      </c>
      <c r="D22" s="4" t="s">
        <v>17</v>
      </c>
      <c r="E22" s="3">
        <f>F22-120</f>
        <v>55</v>
      </c>
      <c r="F22" s="3">
        <v>175</v>
      </c>
      <c r="G22" s="5">
        <v>45955.15625</v>
      </c>
      <c r="H22" s="5">
        <v>45955.861111111109</v>
      </c>
      <c r="I22" s="2" t="s">
        <v>31</v>
      </c>
      <c r="J22" s="6">
        <v>4538</v>
      </c>
      <c r="K22" s="2">
        <v>20000</v>
      </c>
      <c r="L22" s="2">
        <v>120</v>
      </c>
      <c r="M22" s="2">
        <v>28</v>
      </c>
    </row>
    <row r="23" spans="2:13" hidden="1" x14ac:dyDescent="0.35">
      <c r="B23" s="3" t="s">
        <v>50</v>
      </c>
      <c r="C23" s="2" t="s">
        <v>22</v>
      </c>
      <c r="D23" s="4" t="s">
        <v>17</v>
      </c>
      <c r="E23" s="3">
        <f>F23-190</f>
        <v>-15</v>
      </c>
      <c r="F23" s="3">
        <v>175</v>
      </c>
      <c r="G23" s="5">
        <v>45956.927083333336</v>
      </c>
      <c r="H23" s="5">
        <v>45963.854166666664</v>
      </c>
      <c r="I23" s="2" t="s">
        <v>31</v>
      </c>
      <c r="J23" s="6">
        <v>38528</v>
      </c>
      <c r="K23" s="2">
        <v>20000</v>
      </c>
      <c r="L23" s="2">
        <v>190</v>
      </c>
      <c r="M23" s="2">
        <v>28</v>
      </c>
    </row>
    <row r="24" spans="2:13" hidden="1" x14ac:dyDescent="0.35">
      <c r="B24" s="3" t="s">
        <v>51</v>
      </c>
      <c r="C24" s="2" t="s">
        <v>22</v>
      </c>
      <c r="D24" s="4" t="s">
        <v>29</v>
      </c>
      <c r="E24" s="3">
        <v>10</v>
      </c>
      <c r="F24" s="3">
        <f>E24+147</f>
        <v>157</v>
      </c>
      <c r="G24" s="5">
        <v>45958.708333333336</v>
      </c>
      <c r="H24" s="5">
        <v>45959.75</v>
      </c>
      <c r="I24" s="2" t="s">
        <v>31</v>
      </c>
      <c r="J24" s="6">
        <v>14943</v>
      </c>
      <c r="K24" s="2">
        <v>20000</v>
      </c>
      <c r="L24" s="2">
        <v>147</v>
      </c>
      <c r="M24" s="2">
        <v>28</v>
      </c>
    </row>
    <row r="25" spans="2:13" hidden="1" x14ac:dyDescent="0.35">
      <c r="B25" s="3" t="s">
        <v>52</v>
      </c>
      <c r="C25" s="2" t="s">
        <v>22</v>
      </c>
      <c r="D25" s="4" t="s">
        <v>23</v>
      </c>
      <c r="E25" s="3">
        <v>-7</v>
      </c>
      <c r="F25" s="3">
        <f>E25+180</f>
        <v>173</v>
      </c>
      <c r="G25" s="5">
        <v>45959.350694444445</v>
      </c>
      <c r="H25" s="5">
        <v>45962.5</v>
      </c>
      <c r="I25" s="2" t="s">
        <v>31</v>
      </c>
      <c r="J25" s="6">
        <v>4337</v>
      </c>
      <c r="K25" s="2">
        <v>20000</v>
      </c>
      <c r="L25" s="2">
        <v>180</v>
      </c>
      <c r="M25" s="2">
        <v>28</v>
      </c>
    </row>
    <row r="26" spans="2:13" hidden="1" x14ac:dyDescent="0.35">
      <c r="B26" s="3" t="s">
        <v>37</v>
      </c>
      <c r="C26" s="2" t="s">
        <v>22</v>
      </c>
      <c r="D26" s="4" t="s">
        <v>29</v>
      </c>
      <c r="E26" s="3">
        <v>8</v>
      </c>
      <c r="F26" s="3">
        <f>E26+110</f>
        <v>118</v>
      </c>
      <c r="G26" s="5">
        <v>45959.895833333336</v>
      </c>
      <c r="H26" s="5">
        <v>45963.1875</v>
      </c>
      <c r="I26" s="2" t="s">
        <v>31</v>
      </c>
      <c r="J26" s="6">
        <v>6157</v>
      </c>
      <c r="K26" s="2">
        <v>20000</v>
      </c>
      <c r="L26" s="2">
        <v>108</v>
      </c>
      <c r="M26" s="2">
        <v>28</v>
      </c>
    </row>
    <row r="27" spans="2:13" hidden="1" x14ac:dyDescent="0.35">
      <c r="B27" s="7" t="s">
        <v>53</v>
      </c>
      <c r="C27" s="2" t="s">
        <v>22</v>
      </c>
      <c r="D27" s="8" t="s">
        <v>29</v>
      </c>
      <c r="E27" s="7">
        <v>130</v>
      </c>
      <c r="F27" s="7">
        <f>E27+107</f>
        <v>237</v>
      </c>
      <c r="G27" s="9">
        <v>45960.75</v>
      </c>
      <c r="H27" s="9">
        <v>45962.177083333336</v>
      </c>
      <c r="I27" s="2" t="s">
        <v>31</v>
      </c>
      <c r="J27" s="10">
        <v>5309</v>
      </c>
      <c r="K27" s="2">
        <v>20000</v>
      </c>
      <c r="L27" s="2">
        <v>106</v>
      </c>
      <c r="M27" s="2">
        <v>28</v>
      </c>
    </row>
    <row r="28" spans="2:13" ht="21" hidden="1" x14ac:dyDescent="0.35">
      <c r="B28" s="11" t="s">
        <v>55</v>
      </c>
      <c r="C28" s="11" t="s">
        <v>22</v>
      </c>
      <c r="D28" s="1" t="s">
        <v>62</v>
      </c>
      <c r="E28" s="1">
        <v>355</v>
      </c>
      <c r="F28" s="1">
        <f>E28+119</f>
        <v>474</v>
      </c>
      <c r="G28" s="9">
        <v>45932.329861111109</v>
      </c>
      <c r="H28" s="9">
        <v>45932.861111111109</v>
      </c>
      <c r="I28" s="11" t="s">
        <v>18</v>
      </c>
      <c r="J28" s="11">
        <v>581</v>
      </c>
      <c r="L28" s="2">
        <v>119</v>
      </c>
    </row>
    <row r="29" spans="2:13" ht="21" hidden="1" x14ac:dyDescent="0.35">
      <c r="B29" s="11" t="s">
        <v>56</v>
      </c>
      <c r="C29" s="11" t="s">
        <v>22</v>
      </c>
      <c r="D29" s="1" t="s">
        <v>54</v>
      </c>
      <c r="E29" s="1">
        <f>F29-150</f>
        <v>183</v>
      </c>
      <c r="F29" s="1">
        <v>333</v>
      </c>
      <c r="G29" s="9">
        <v>45932.302083333336</v>
      </c>
      <c r="H29" s="9">
        <v>45933.222222222219</v>
      </c>
      <c r="I29" s="11" t="s">
        <v>18</v>
      </c>
      <c r="J29" s="11">
        <v>911</v>
      </c>
      <c r="L29" s="2">
        <v>150</v>
      </c>
    </row>
    <row r="30" spans="2:13" ht="21" hidden="1" x14ac:dyDescent="0.35">
      <c r="B30" s="11" t="s">
        <v>57</v>
      </c>
      <c r="C30" s="11" t="s">
        <v>22</v>
      </c>
      <c r="D30" s="1" t="s">
        <v>23</v>
      </c>
      <c r="E30" s="1">
        <v>14</v>
      </c>
      <c r="F30" s="1">
        <f>E30+150</f>
        <v>164</v>
      </c>
      <c r="G30" s="9">
        <v>45932.902777777781</v>
      </c>
      <c r="H30" s="9">
        <v>45934.472222222219</v>
      </c>
      <c r="I30" s="11" t="s">
        <v>18</v>
      </c>
      <c r="J30" s="11">
        <v>906</v>
      </c>
      <c r="L30" s="2">
        <v>150</v>
      </c>
    </row>
    <row r="31" spans="2:13" ht="21" x14ac:dyDescent="0.35">
      <c r="B31" s="11" t="s">
        <v>58</v>
      </c>
      <c r="C31" s="11" t="s">
        <v>22</v>
      </c>
      <c r="D31" s="1" t="s">
        <v>62</v>
      </c>
      <c r="E31" s="1">
        <v>355</v>
      </c>
      <c r="F31" s="1">
        <f>E31+119</f>
        <v>474</v>
      </c>
      <c r="G31" s="9">
        <v>45934.069444444445</v>
      </c>
      <c r="H31" s="9">
        <v>45934.9375</v>
      </c>
      <c r="I31" s="11" t="s">
        <v>18</v>
      </c>
      <c r="J31" s="11">
        <v>615</v>
      </c>
      <c r="L31" s="2">
        <v>124</v>
      </c>
    </row>
    <row r="32" spans="2:13" ht="21" hidden="1" x14ac:dyDescent="0.35">
      <c r="B32" s="11" t="s">
        <v>59</v>
      </c>
      <c r="C32" s="11" t="s">
        <v>22</v>
      </c>
      <c r="D32" s="1" t="s">
        <v>54</v>
      </c>
      <c r="E32" s="1">
        <f>F32-121</f>
        <v>189</v>
      </c>
      <c r="F32" s="1">
        <v>310</v>
      </c>
      <c r="G32" s="9">
        <v>45933.996527777781</v>
      </c>
      <c r="H32" s="9">
        <v>45934.958333333336</v>
      </c>
      <c r="I32" s="11" t="s">
        <v>18</v>
      </c>
      <c r="J32" s="11">
        <v>685</v>
      </c>
      <c r="L32" s="2">
        <v>121</v>
      </c>
    </row>
    <row r="33" spans="2:12" ht="21" hidden="1" x14ac:dyDescent="0.35">
      <c r="B33" s="11" t="s">
        <v>60</v>
      </c>
      <c r="C33" s="11" t="s">
        <v>22</v>
      </c>
      <c r="D33" s="1" t="s">
        <v>62</v>
      </c>
      <c r="E33" s="1">
        <v>350</v>
      </c>
      <c r="F33" s="1">
        <f>E33+121</f>
        <v>471</v>
      </c>
      <c r="G33" s="9">
        <v>45936.527777777781</v>
      </c>
      <c r="H33" s="9">
        <v>45937.1875</v>
      </c>
      <c r="I33" s="11" t="s">
        <v>18</v>
      </c>
      <c r="J33" s="11">
        <v>526</v>
      </c>
      <c r="L33" s="2">
        <v>121</v>
      </c>
    </row>
    <row r="34" spans="2:12" ht="21" hidden="1" x14ac:dyDescent="0.35">
      <c r="B34" s="11" t="s">
        <v>61</v>
      </c>
      <c r="C34" s="11" t="s">
        <v>22</v>
      </c>
      <c r="D34" s="1" t="s">
        <v>54</v>
      </c>
      <c r="E34" s="1">
        <f>F34-100</f>
        <v>210</v>
      </c>
      <c r="F34" s="1">
        <v>310</v>
      </c>
      <c r="G34" s="9">
        <v>45937.041666666664</v>
      </c>
      <c r="H34" s="9">
        <v>45937.5</v>
      </c>
      <c r="I34" s="11" t="s">
        <v>18</v>
      </c>
      <c r="J34" s="11">
        <v>314</v>
      </c>
      <c r="L34" s="2">
        <v>100</v>
      </c>
    </row>
    <row r="35" spans="2:12" ht="21" hidden="1" x14ac:dyDescent="0.35">
      <c r="B35" s="11" t="s">
        <v>55</v>
      </c>
      <c r="C35" s="11" t="s">
        <v>22</v>
      </c>
      <c r="D35" s="1" t="s">
        <v>54</v>
      </c>
      <c r="E35" s="1">
        <f>F35-119</f>
        <v>191</v>
      </c>
      <c r="F35" s="1">
        <v>310</v>
      </c>
      <c r="G35" s="9">
        <v>45940.097222222219</v>
      </c>
      <c r="H35" s="9">
        <v>45940.583333333336</v>
      </c>
      <c r="I35" s="11" t="s">
        <v>18</v>
      </c>
      <c r="J35" s="11">
        <v>607</v>
      </c>
      <c r="L35" s="2">
        <v>119</v>
      </c>
    </row>
    <row r="36" spans="2:12" ht="21" hidden="1" x14ac:dyDescent="0.35">
      <c r="B36" s="11" t="s">
        <v>56</v>
      </c>
      <c r="C36" s="11" t="s">
        <v>22</v>
      </c>
      <c r="D36" s="1" t="s">
        <v>62</v>
      </c>
      <c r="E36" s="1">
        <v>350</v>
      </c>
      <c r="F36" s="1">
        <f>E36+150</f>
        <v>500</v>
      </c>
      <c r="G36" s="9">
        <v>45940.645833333336</v>
      </c>
      <c r="H36" s="9">
        <v>45941.583333333336</v>
      </c>
      <c r="I36" s="11" t="s">
        <v>18</v>
      </c>
      <c r="J36" s="11">
        <v>936</v>
      </c>
      <c r="L36" s="2">
        <v>150</v>
      </c>
    </row>
    <row r="37" spans="2:12" ht="21" hidden="1" x14ac:dyDescent="0.35">
      <c r="B37" s="11" t="s">
        <v>59</v>
      </c>
      <c r="C37" s="11" t="s">
        <v>22</v>
      </c>
      <c r="D37" s="1" t="s">
        <v>62</v>
      </c>
      <c r="E37" s="1">
        <v>355</v>
      </c>
      <c r="F37" s="1">
        <f>E37+121</f>
        <v>476</v>
      </c>
      <c r="G37" s="9">
        <v>45941.635416666664</v>
      </c>
      <c r="H37" s="9">
        <v>45942.166666666664</v>
      </c>
      <c r="I37" s="11" t="s">
        <v>18</v>
      </c>
      <c r="J37" s="11">
        <v>594</v>
      </c>
      <c r="L37" s="2">
        <v>121</v>
      </c>
    </row>
    <row r="38" spans="2:12" ht="21" x14ac:dyDescent="0.35">
      <c r="B38" s="11" t="s">
        <v>58</v>
      </c>
      <c r="C38" s="11" t="s">
        <v>22</v>
      </c>
      <c r="D38" s="1" t="s">
        <v>54</v>
      </c>
      <c r="E38" s="1">
        <v>167</v>
      </c>
      <c r="F38" s="1">
        <v>291</v>
      </c>
      <c r="G38" s="9">
        <v>45942.385416666664</v>
      </c>
      <c r="H38" s="9">
        <v>45943</v>
      </c>
      <c r="I38" s="11" t="s">
        <v>18</v>
      </c>
      <c r="J38" s="11">
        <v>606</v>
      </c>
      <c r="L38" s="2">
        <v>124</v>
      </c>
    </row>
    <row r="39" spans="2:12" ht="21" hidden="1" x14ac:dyDescent="0.35">
      <c r="B39" s="11" t="s">
        <v>57</v>
      </c>
      <c r="C39" s="11" t="s">
        <v>22</v>
      </c>
      <c r="D39" s="1" t="s">
        <v>62</v>
      </c>
      <c r="E39" s="1">
        <v>330</v>
      </c>
      <c r="F39" s="1">
        <v>480</v>
      </c>
      <c r="G39" s="9">
        <v>45943.090277777781</v>
      </c>
      <c r="H39" s="9">
        <v>45943.979166666664</v>
      </c>
      <c r="I39" s="11" t="s">
        <v>18</v>
      </c>
      <c r="J39" s="11">
        <v>732</v>
      </c>
      <c r="L39" s="2">
        <v>150</v>
      </c>
    </row>
    <row r="40" spans="2:12" ht="21" hidden="1" x14ac:dyDescent="0.35">
      <c r="B40" s="11" t="s">
        <v>60</v>
      </c>
      <c r="C40" s="11" t="s">
        <v>22</v>
      </c>
      <c r="D40" s="1" t="s">
        <v>62</v>
      </c>
      <c r="E40" s="1">
        <v>370</v>
      </c>
      <c r="F40" s="1">
        <f>E40+121</f>
        <v>491</v>
      </c>
      <c r="G40" s="9">
        <v>45944.197916666664</v>
      </c>
      <c r="H40" s="9">
        <v>45945.375</v>
      </c>
      <c r="I40" s="11" t="s">
        <v>18</v>
      </c>
      <c r="J40" s="11">
        <v>542</v>
      </c>
      <c r="L40" s="2">
        <v>121</v>
      </c>
    </row>
    <row r="41" spans="2:12" ht="21" hidden="1" x14ac:dyDescent="0.35">
      <c r="B41" s="11" t="s">
        <v>61</v>
      </c>
      <c r="C41" s="11" t="s">
        <v>22</v>
      </c>
      <c r="D41" s="1" t="s">
        <v>62</v>
      </c>
      <c r="E41" s="1">
        <v>365</v>
      </c>
      <c r="F41" s="1">
        <f>E41+100</f>
        <v>465</v>
      </c>
      <c r="G41" s="9">
        <v>45946.489583333336</v>
      </c>
      <c r="H41" s="9">
        <v>45946.875</v>
      </c>
      <c r="I41" s="11" t="s">
        <v>18</v>
      </c>
      <c r="J41" s="11">
        <v>304</v>
      </c>
      <c r="L41" s="2">
        <v>100</v>
      </c>
    </row>
    <row r="42" spans="2:12" ht="21" hidden="1" x14ac:dyDescent="0.35">
      <c r="B42" s="11" t="s">
        <v>55</v>
      </c>
      <c r="C42" s="11" t="s">
        <v>22</v>
      </c>
      <c r="D42" s="1" t="s">
        <v>62</v>
      </c>
      <c r="E42" s="1">
        <v>365</v>
      </c>
      <c r="F42" s="1">
        <f>E42+119</f>
        <v>484</v>
      </c>
      <c r="G42" s="9">
        <v>45947.552083333336</v>
      </c>
      <c r="H42" s="9">
        <v>45948.145833333336</v>
      </c>
      <c r="I42" s="11" t="s">
        <v>18</v>
      </c>
      <c r="J42" s="11">
        <v>616</v>
      </c>
      <c r="L42" s="2">
        <v>119</v>
      </c>
    </row>
    <row r="43" spans="2:12" ht="21" hidden="1" x14ac:dyDescent="0.35">
      <c r="B43" s="11" t="s">
        <v>56</v>
      </c>
      <c r="C43" s="11" t="s">
        <v>22</v>
      </c>
      <c r="D43" s="1" t="s">
        <v>62</v>
      </c>
      <c r="E43" s="1">
        <v>340</v>
      </c>
      <c r="F43" s="1">
        <f>E43+150</f>
        <v>490</v>
      </c>
      <c r="G43" s="9">
        <v>45948.690972222219</v>
      </c>
      <c r="H43" s="9">
        <v>45949.486111111109</v>
      </c>
      <c r="I43" s="11" t="s">
        <v>18</v>
      </c>
      <c r="J43" s="11">
        <v>981</v>
      </c>
      <c r="L43" s="2">
        <v>150</v>
      </c>
    </row>
    <row r="44" spans="2:12" ht="21" hidden="1" x14ac:dyDescent="0.35">
      <c r="B44" s="11" t="s">
        <v>59</v>
      </c>
      <c r="C44" s="11" t="s">
        <v>22</v>
      </c>
      <c r="D44" s="1" t="s">
        <v>54</v>
      </c>
      <c r="E44" s="1">
        <f>F44-121</f>
        <v>199</v>
      </c>
      <c r="F44" s="1">
        <v>320</v>
      </c>
      <c r="G44" s="9">
        <v>45949.201388888891</v>
      </c>
      <c r="H44" s="9">
        <v>45949.916666666664</v>
      </c>
      <c r="I44" s="11" t="s">
        <v>18</v>
      </c>
      <c r="J44" s="11">
        <v>585</v>
      </c>
      <c r="L44" s="2">
        <v>121</v>
      </c>
    </row>
    <row r="45" spans="2:12" ht="21" hidden="1" x14ac:dyDescent="0.35">
      <c r="B45" s="11" t="s">
        <v>57</v>
      </c>
      <c r="C45" s="11" t="s">
        <v>22</v>
      </c>
      <c r="D45" s="1" t="s">
        <v>54</v>
      </c>
      <c r="E45" s="1">
        <v>200</v>
      </c>
      <c r="F45" s="1">
        <f>E45+150</f>
        <v>350</v>
      </c>
      <c r="G45" s="9">
        <v>45950.0625</v>
      </c>
      <c r="H45" s="9">
        <v>45951.041666666664</v>
      </c>
      <c r="I45" s="11" t="s">
        <v>18</v>
      </c>
      <c r="J45" s="11">
        <v>482</v>
      </c>
      <c r="L45" s="2">
        <v>150</v>
      </c>
    </row>
    <row r="46" spans="2:12" ht="21" x14ac:dyDescent="0.35">
      <c r="B46" s="11" t="s">
        <v>58</v>
      </c>
      <c r="C46" s="11" t="s">
        <v>22</v>
      </c>
      <c r="D46" s="1" t="s">
        <v>62</v>
      </c>
      <c r="E46" s="1">
        <v>370</v>
      </c>
      <c r="F46" s="1">
        <f>E46+124</f>
        <v>494</v>
      </c>
      <c r="G46" s="9">
        <v>45949.527777777781</v>
      </c>
      <c r="H46" s="9">
        <v>45951.1875</v>
      </c>
      <c r="I46" s="11" t="s">
        <v>18</v>
      </c>
      <c r="J46" s="11">
        <v>591</v>
      </c>
      <c r="L46" s="2">
        <v>124</v>
      </c>
    </row>
    <row r="47" spans="2:12" ht="21" hidden="1" x14ac:dyDescent="0.35">
      <c r="B47" s="11" t="s">
        <v>60</v>
      </c>
      <c r="C47" s="11" t="s">
        <v>22</v>
      </c>
      <c r="D47" s="1" t="s">
        <v>62</v>
      </c>
      <c r="E47" s="1">
        <v>380</v>
      </c>
      <c r="F47" s="1">
        <f>E47+121</f>
        <v>501</v>
      </c>
      <c r="G47" s="9">
        <v>45953.621527777781</v>
      </c>
      <c r="H47" s="9">
        <v>45954.25</v>
      </c>
      <c r="I47" s="11" t="s">
        <v>18</v>
      </c>
      <c r="J47" s="11">
        <v>601</v>
      </c>
      <c r="L47" s="2">
        <v>121</v>
      </c>
    </row>
    <row r="48" spans="2:12" ht="21" hidden="1" x14ac:dyDescent="0.35">
      <c r="B48" s="11" t="s">
        <v>55</v>
      </c>
      <c r="C48" s="11" t="s">
        <v>22</v>
      </c>
      <c r="D48" s="1" t="s">
        <v>62</v>
      </c>
      <c r="E48" s="1">
        <v>380</v>
      </c>
      <c r="F48" s="1">
        <f>E48+119</f>
        <v>499</v>
      </c>
      <c r="G48" s="9">
        <v>45955.690972222219</v>
      </c>
      <c r="H48" s="9">
        <v>45956.229166666664</v>
      </c>
      <c r="I48" s="11" t="s">
        <v>18</v>
      </c>
      <c r="J48" s="11">
        <v>610</v>
      </c>
      <c r="L48" s="2">
        <v>119</v>
      </c>
    </row>
    <row r="49" spans="2:12" ht="21" hidden="1" x14ac:dyDescent="0.35">
      <c r="B49" s="11" t="s">
        <v>61</v>
      </c>
      <c r="C49" s="11" t="s">
        <v>22</v>
      </c>
      <c r="D49" s="1" t="s">
        <v>23</v>
      </c>
      <c r="E49" s="1">
        <v>15</v>
      </c>
      <c r="F49" s="1">
        <f>E49+100</f>
        <v>115</v>
      </c>
      <c r="G49" s="9">
        <v>45957.864583333336</v>
      </c>
      <c r="H49" s="9">
        <v>45958.625</v>
      </c>
      <c r="I49" s="11" t="s">
        <v>18</v>
      </c>
      <c r="J49" s="11">
        <v>309</v>
      </c>
      <c r="L49" s="2">
        <v>100</v>
      </c>
    </row>
    <row r="50" spans="2:12" ht="21" hidden="1" x14ac:dyDescent="0.35">
      <c r="B50" s="11" t="s">
        <v>56</v>
      </c>
      <c r="C50" s="11" t="s">
        <v>22</v>
      </c>
      <c r="D50" s="1" t="s">
        <v>62</v>
      </c>
      <c r="E50" s="1">
        <v>380</v>
      </c>
      <c r="F50" s="1">
        <f>E50+150</f>
        <v>530</v>
      </c>
      <c r="G50" s="9">
        <v>45958.020833333336</v>
      </c>
      <c r="H50" s="9">
        <v>45958.965277777781</v>
      </c>
      <c r="I50" s="11" t="s">
        <v>18</v>
      </c>
      <c r="J50" s="11">
        <v>969</v>
      </c>
      <c r="L50" s="2">
        <v>150</v>
      </c>
    </row>
    <row r="51" spans="2:12" ht="21" x14ac:dyDescent="0.35">
      <c r="B51" s="11" t="s">
        <v>58</v>
      </c>
      <c r="C51" s="11" t="s">
        <v>22</v>
      </c>
      <c r="D51" s="1" t="s">
        <v>23</v>
      </c>
      <c r="E51" s="1">
        <v>14</v>
      </c>
      <c r="F51" s="1">
        <f>E51+124</f>
        <v>138</v>
      </c>
      <c r="G51" s="9">
        <v>45958.788194444445</v>
      </c>
      <c r="H51" s="9">
        <v>45959.329861111109</v>
      </c>
      <c r="I51" s="11" t="s">
        <v>18</v>
      </c>
      <c r="J51" s="11">
        <v>603</v>
      </c>
      <c r="L51" s="2">
        <v>124</v>
      </c>
    </row>
    <row r="52" spans="2:12" ht="21" hidden="1" x14ac:dyDescent="0.35">
      <c r="B52" s="11" t="s">
        <v>57</v>
      </c>
      <c r="C52" s="11" t="s">
        <v>22</v>
      </c>
      <c r="D52" s="1" t="s">
        <v>62</v>
      </c>
      <c r="E52" s="1">
        <v>380</v>
      </c>
      <c r="F52" s="1">
        <f>E52+150</f>
        <v>530</v>
      </c>
      <c r="G52" s="9">
        <v>45959.013888888891</v>
      </c>
      <c r="H52" s="9">
        <v>45959.666666666664</v>
      </c>
      <c r="I52" s="11" t="s">
        <v>18</v>
      </c>
      <c r="J52" s="11">
        <v>462</v>
      </c>
      <c r="L52" s="2">
        <v>150</v>
      </c>
    </row>
    <row r="53" spans="2:12" ht="21" hidden="1" x14ac:dyDescent="0.35">
      <c r="B53" s="11" t="s">
        <v>59</v>
      </c>
      <c r="C53" s="11" t="s">
        <v>22</v>
      </c>
      <c r="D53" s="1" t="s">
        <v>62</v>
      </c>
      <c r="E53" s="1">
        <v>380</v>
      </c>
      <c r="F53" s="1">
        <v>501</v>
      </c>
      <c r="G53" s="9">
        <v>45960.798611111109</v>
      </c>
      <c r="H53" s="9">
        <v>45961.375</v>
      </c>
      <c r="I53" s="11" t="s">
        <v>18</v>
      </c>
      <c r="J53" s="11">
        <v>657</v>
      </c>
      <c r="L53" s="2">
        <v>121</v>
      </c>
    </row>
  </sheetData>
  <autoFilter ref="A1:O53" xr:uid="{A748D5F7-6271-4D9B-803E-E1FFD0F906C4}">
    <filterColumn colId="1">
      <filters>
        <filter val="FORTUNE FREIGHTER"/>
      </filters>
    </filterColumn>
  </autoFilter>
  <pageMargins left="0.7" right="0.7" top="0.75" bottom="0.75" header="0.3" footer="0.3"/>
  <pageSetup paperSize="9" scale="37" orientation="landscape" r:id="rId1"/>
  <ignoredErrors>
    <ignoredError sqref="A1:P1 A5 A3 K3:P3 A4 A2 K4:P4 K2:P2 K5:P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78C8D-C91C-454C-B4BF-E348488CC61F}">
  <dimension ref="A1:J69"/>
  <sheetViews>
    <sheetView topLeftCell="B1" zoomScale="70" zoomScaleNormal="70" zoomScaleSheetLayoutView="100" workbookViewId="0">
      <selection activeCell="G21" sqref="G21"/>
    </sheetView>
  </sheetViews>
  <sheetFormatPr defaultColWidth="9" defaultRowHeight="17.399999999999999" x14ac:dyDescent="0.35"/>
  <cols>
    <col min="1" max="1" width="12.8984375" style="2" customWidth="1"/>
    <col min="2" max="2" width="24" style="2" bestFit="1" customWidth="1"/>
    <col min="3" max="3" width="10.8984375" style="2" customWidth="1"/>
    <col min="4" max="5" width="8.8984375" style="2" customWidth="1"/>
    <col min="6" max="7" width="20.8984375" style="2" customWidth="1"/>
    <col min="8" max="8" width="8.8984375" style="2" customWidth="1"/>
    <col min="9" max="9" width="17.09765625" style="2" bestFit="1" customWidth="1"/>
    <col min="10" max="10" width="10.09765625" style="2" bestFit="1" customWidth="1"/>
    <col min="11" max="16384" width="9" style="2"/>
  </cols>
  <sheetData>
    <row r="1" spans="1:10" x14ac:dyDescent="0.35">
      <c r="A1" s="2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11</v>
      </c>
    </row>
    <row r="2" spans="1:10" x14ac:dyDescent="0.35">
      <c r="A2" s="2" t="s">
        <v>16</v>
      </c>
      <c r="B2" s="3" t="s">
        <v>32</v>
      </c>
      <c r="C2" s="4" t="s">
        <v>17</v>
      </c>
      <c r="D2" s="3">
        <f>E2-168</f>
        <v>7</v>
      </c>
      <c r="E2" s="3">
        <v>175</v>
      </c>
      <c r="F2" s="5">
        <v>45936.739583333336</v>
      </c>
      <c r="G2" s="5">
        <v>45938.069444444445</v>
      </c>
      <c r="H2" s="2">
        <v>180</v>
      </c>
      <c r="I2" s="12">
        <f>G2-F2</f>
        <v>1.3298611111094942</v>
      </c>
      <c r="J2" s="13">
        <f>I2*24+4</f>
        <v>35.916666666627862</v>
      </c>
    </row>
    <row r="3" spans="1:10" x14ac:dyDescent="0.35">
      <c r="A3" s="2" t="s">
        <v>21</v>
      </c>
      <c r="B3" s="3" t="s">
        <v>33</v>
      </c>
      <c r="C3" s="4" t="s">
        <v>54</v>
      </c>
      <c r="D3" s="3">
        <v>5</v>
      </c>
      <c r="E3" s="3">
        <f>D3+80</f>
        <v>85</v>
      </c>
      <c r="F3" s="5">
        <v>45937.166666666664</v>
      </c>
      <c r="G3" s="5">
        <v>45938.069444444445</v>
      </c>
      <c r="H3" s="2">
        <v>165</v>
      </c>
      <c r="I3" s="12">
        <f t="shared" ref="I3:I53" si="0">G3-F3</f>
        <v>0.90277777778101154</v>
      </c>
      <c r="J3" s="13">
        <f t="shared" ref="J3:J53" si="1">I3*24+4</f>
        <v>25.666666666744277</v>
      </c>
    </row>
    <row r="4" spans="1:10" x14ac:dyDescent="0.35">
      <c r="A4" s="2" t="s">
        <v>26</v>
      </c>
      <c r="B4" s="3" t="s">
        <v>34</v>
      </c>
      <c r="C4" s="4" t="s">
        <v>29</v>
      </c>
      <c r="D4" s="3">
        <v>12</v>
      </c>
      <c r="E4" s="3">
        <f>D4+117</f>
        <v>129</v>
      </c>
      <c r="F4" s="5">
        <v>45937.590277777781</v>
      </c>
      <c r="G4" s="5">
        <v>45939.611111111109</v>
      </c>
      <c r="H4" s="2">
        <v>150</v>
      </c>
      <c r="I4" s="12">
        <f t="shared" si="0"/>
        <v>2.0208333333284827</v>
      </c>
      <c r="J4" s="13">
        <f t="shared" si="1"/>
        <v>52.499999999883585</v>
      </c>
    </row>
    <row r="5" spans="1:10" x14ac:dyDescent="0.35">
      <c r="A5" s="2" t="s">
        <v>28</v>
      </c>
      <c r="B5" s="3" t="s">
        <v>35</v>
      </c>
      <c r="C5" s="4" t="s">
        <v>54</v>
      </c>
      <c r="D5" s="3">
        <v>110</v>
      </c>
      <c r="E5" s="3">
        <f>D5+120</f>
        <v>230</v>
      </c>
      <c r="F5" s="5">
        <v>45939.131944444445</v>
      </c>
      <c r="G5" s="5">
        <v>45939.618055555555</v>
      </c>
      <c r="H5" s="2">
        <v>170</v>
      </c>
      <c r="I5" s="12">
        <f t="shared" si="0"/>
        <v>0.48611111110949423</v>
      </c>
      <c r="J5" s="13">
        <f t="shared" si="1"/>
        <v>15.666666666627862</v>
      </c>
    </row>
    <row r="6" spans="1:10" x14ac:dyDescent="0.35">
      <c r="B6" s="3" t="s">
        <v>36</v>
      </c>
      <c r="C6" s="4" t="s">
        <v>17</v>
      </c>
      <c r="D6" s="3">
        <f>E6-180</f>
        <v>-5</v>
      </c>
      <c r="E6" s="3">
        <v>175</v>
      </c>
      <c r="F6" s="5">
        <v>45941.284722222219</v>
      </c>
      <c r="G6" s="5">
        <v>45942.958333333336</v>
      </c>
      <c r="H6" s="2">
        <v>180</v>
      </c>
      <c r="I6" s="12">
        <f t="shared" si="0"/>
        <v>1.6736111111167702</v>
      </c>
      <c r="J6" s="13">
        <f t="shared" si="1"/>
        <v>44.166666666802485</v>
      </c>
    </row>
    <row r="7" spans="1:10" x14ac:dyDescent="0.35">
      <c r="B7" s="3" t="s">
        <v>37</v>
      </c>
      <c r="C7" s="4" t="s">
        <v>29</v>
      </c>
      <c r="D7" s="3">
        <v>25</v>
      </c>
      <c r="E7" s="3">
        <f>D7+110</f>
        <v>135</v>
      </c>
      <c r="F7" s="5">
        <v>45941.65625</v>
      </c>
      <c r="G7" s="5">
        <v>45943.09375</v>
      </c>
      <c r="H7" s="2">
        <v>108</v>
      </c>
      <c r="I7" s="12">
        <f t="shared" si="0"/>
        <v>1.4375</v>
      </c>
      <c r="J7" s="13">
        <f t="shared" si="1"/>
        <v>38.5</v>
      </c>
    </row>
    <row r="8" spans="1:10" x14ac:dyDescent="0.35">
      <c r="B8" s="3" t="s">
        <v>38</v>
      </c>
      <c r="C8" s="4" t="s">
        <v>23</v>
      </c>
      <c r="D8" s="3">
        <v>15</v>
      </c>
      <c r="E8" s="3">
        <f>D8+120</f>
        <v>135</v>
      </c>
      <c r="F8" s="5">
        <v>45941.819444444445</v>
      </c>
      <c r="G8" s="5">
        <v>45942.125</v>
      </c>
      <c r="H8" s="2">
        <v>100</v>
      </c>
      <c r="I8" s="12">
        <f t="shared" si="0"/>
        <v>0.30555555555474712</v>
      </c>
      <c r="J8" s="13">
        <f t="shared" si="1"/>
        <v>11.333333333313931</v>
      </c>
    </row>
    <row r="9" spans="1:10" x14ac:dyDescent="0.35">
      <c r="B9" s="3" t="s">
        <v>39</v>
      </c>
      <c r="C9" s="4" t="s">
        <v>23</v>
      </c>
      <c r="D9" s="3">
        <v>7</v>
      </c>
      <c r="E9" s="3">
        <f>D9+147</f>
        <v>154</v>
      </c>
      <c r="F9" s="5">
        <v>45943.288194444445</v>
      </c>
      <c r="G9" s="5">
        <v>45944.291666666664</v>
      </c>
      <c r="H9" s="2">
        <v>147</v>
      </c>
      <c r="I9" s="12">
        <f t="shared" si="0"/>
        <v>1.0034722222189885</v>
      </c>
      <c r="J9" s="13">
        <f t="shared" si="1"/>
        <v>28.083333333255723</v>
      </c>
    </row>
    <row r="10" spans="1:10" x14ac:dyDescent="0.35">
      <c r="B10" s="3" t="s">
        <v>40</v>
      </c>
      <c r="C10" s="4" t="s">
        <v>17</v>
      </c>
      <c r="D10" s="3">
        <f>E10-190</f>
        <v>-15</v>
      </c>
      <c r="E10" s="3">
        <v>175</v>
      </c>
      <c r="F10" s="5">
        <v>45943.239583333336</v>
      </c>
      <c r="G10" s="5">
        <v>45945.826388888891</v>
      </c>
      <c r="H10" s="2">
        <v>190</v>
      </c>
      <c r="I10" s="12">
        <f t="shared" si="0"/>
        <v>2.5868055555547471</v>
      </c>
      <c r="J10" s="13">
        <f t="shared" si="1"/>
        <v>66.083333333313931</v>
      </c>
    </row>
    <row r="11" spans="1:10" x14ac:dyDescent="0.35">
      <c r="B11" s="3" t="s">
        <v>41</v>
      </c>
      <c r="C11" s="4" t="s">
        <v>54</v>
      </c>
      <c r="D11" s="3">
        <v>170</v>
      </c>
      <c r="E11" s="3">
        <f>D11+178</f>
        <v>348</v>
      </c>
      <c r="F11" s="5">
        <v>45943.743055555555</v>
      </c>
      <c r="G11" s="5">
        <v>45945.041666666664</v>
      </c>
      <c r="H11" s="2">
        <v>178</v>
      </c>
      <c r="I11" s="12">
        <f t="shared" si="0"/>
        <v>1.2986111111094942</v>
      </c>
      <c r="J11" s="13">
        <f t="shared" si="1"/>
        <v>35.166666666627862</v>
      </c>
    </row>
    <row r="12" spans="1:10" x14ac:dyDescent="0.35">
      <c r="B12" s="3" t="s">
        <v>42</v>
      </c>
      <c r="C12" s="4" t="s">
        <v>29</v>
      </c>
      <c r="D12" s="3">
        <v>20</v>
      </c>
      <c r="E12" s="3">
        <f>D12+170</f>
        <v>190</v>
      </c>
      <c r="F12" s="5">
        <v>45943.822916666664</v>
      </c>
      <c r="G12" s="5">
        <v>45946.625</v>
      </c>
      <c r="H12" s="2">
        <v>170</v>
      </c>
      <c r="I12" s="12">
        <f t="shared" si="0"/>
        <v>2.8020833333357587</v>
      </c>
      <c r="J12" s="13">
        <f t="shared" si="1"/>
        <v>71.250000000058208</v>
      </c>
    </row>
    <row r="13" spans="1:10" x14ac:dyDescent="0.35">
      <c r="B13" s="3" t="s">
        <v>43</v>
      </c>
      <c r="C13" s="4" t="s">
        <v>54</v>
      </c>
      <c r="D13" s="3">
        <v>93</v>
      </c>
      <c r="E13" s="3">
        <f>D13+117</f>
        <v>210</v>
      </c>
      <c r="F13" s="5">
        <v>45945.972222222219</v>
      </c>
      <c r="G13" s="5">
        <v>45948.451388888891</v>
      </c>
      <c r="H13" s="2">
        <v>116</v>
      </c>
      <c r="I13" s="12">
        <f t="shared" si="0"/>
        <v>2.4791666666715173</v>
      </c>
      <c r="J13" s="13">
        <f t="shared" si="1"/>
        <v>63.500000000116415</v>
      </c>
    </row>
    <row r="14" spans="1:10" x14ac:dyDescent="0.35">
      <c r="B14" s="3" t="s">
        <v>44</v>
      </c>
      <c r="C14" s="4" t="s">
        <v>54</v>
      </c>
      <c r="D14" s="3">
        <v>225</v>
      </c>
      <c r="E14" s="3">
        <f>D14+120</f>
        <v>345</v>
      </c>
      <c r="F14" s="5">
        <v>45946.916666666664</v>
      </c>
      <c r="G14" s="5">
        <v>45948.458333333336</v>
      </c>
      <c r="H14" s="2">
        <v>119</v>
      </c>
      <c r="I14" s="12">
        <f t="shared" si="0"/>
        <v>1.5416666666715173</v>
      </c>
      <c r="J14" s="13">
        <f t="shared" si="1"/>
        <v>41.000000000116415</v>
      </c>
    </row>
    <row r="15" spans="1:10" x14ac:dyDescent="0.35">
      <c r="B15" s="3" t="s">
        <v>45</v>
      </c>
      <c r="C15" s="4" t="s">
        <v>29</v>
      </c>
      <c r="D15" s="3">
        <v>20</v>
      </c>
      <c r="E15" s="3">
        <f>D15+180</f>
        <v>200</v>
      </c>
      <c r="F15" s="5">
        <v>45949.645833333336</v>
      </c>
      <c r="G15" s="5">
        <v>45951.048611111109</v>
      </c>
      <c r="H15" s="2">
        <v>180</v>
      </c>
      <c r="I15" s="12">
        <f t="shared" si="0"/>
        <v>1.4027777777737356</v>
      </c>
      <c r="J15" s="13">
        <f t="shared" si="1"/>
        <v>37.666666666569654</v>
      </c>
    </row>
    <row r="16" spans="1:10" x14ac:dyDescent="0.35">
      <c r="B16" s="3" t="s">
        <v>32</v>
      </c>
      <c r="C16" s="4" t="s">
        <v>23</v>
      </c>
      <c r="D16" s="3">
        <v>12</v>
      </c>
      <c r="E16" s="3">
        <f>D16+168</f>
        <v>180</v>
      </c>
      <c r="F16" s="5">
        <v>45950.020833333336</v>
      </c>
      <c r="G16" s="5">
        <v>45951.576388888891</v>
      </c>
      <c r="H16" s="2">
        <v>167</v>
      </c>
      <c r="I16" s="12">
        <f t="shared" si="0"/>
        <v>1.5555555555547471</v>
      </c>
      <c r="J16" s="13">
        <f t="shared" si="1"/>
        <v>41.333333333313931</v>
      </c>
    </row>
    <row r="17" spans="2:10" x14ac:dyDescent="0.35">
      <c r="B17" s="3" t="s">
        <v>34</v>
      </c>
      <c r="C17" s="4" t="s">
        <v>23</v>
      </c>
      <c r="D17" s="3">
        <v>15</v>
      </c>
      <c r="E17" s="3">
        <f>D17+117</f>
        <v>132</v>
      </c>
      <c r="F17" s="5">
        <v>45952.8125</v>
      </c>
      <c r="G17" s="5">
        <v>45954.256944444445</v>
      </c>
      <c r="H17" s="2">
        <v>117</v>
      </c>
      <c r="I17" s="12">
        <f t="shared" si="0"/>
        <v>1.4444444444452529</v>
      </c>
      <c r="J17" s="13">
        <f t="shared" si="1"/>
        <v>38.666666666686069</v>
      </c>
    </row>
    <row r="18" spans="2:10" x14ac:dyDescent="0.35">
      <c r="B18" s="3" t="s">
        <v>46</v>
      </c>
      <c r="C18" s="4" t="s">
        <v>54</v>
      </c>
      <c r="D18" s="3">
        <v>183</v>
      </c>
      <c r="E18" s="3">
        <f>D18+182</f>
        <v>365</v>
      </c>
      <c r="F18" s="5">
        <v>45953.572916666664</v>
      </c>
      <c r="G18" s="5">
        <v>45963.885416666664</v>
      </c>
      <c r="H18" s="2">
        <v>182</v>
      </c>
      <c r="I18" s="12">
        <f t="shared" si="0"/>
        <v>10.3125</v>
      </c>
      <c r="J18" s="13">
        <f t="shared" si="1"/>
        <v>251.5</v>
      </c>
    </row>
    <row r="19" spans="2:10" x14ac:dyDescent="0.35">
      <c r="B19" s="3" t="s">
        <v>47</v>
      </c>
      <c r="C19" s="4" t="s">
        <v>29</v>
      </c>
      <c r="D19" s="3">
        <f>E19-120</f>
        <v>117</v>
      </c>
      <c r="E19" s="3">
        <v>237</v>
      </c>
      <c r="F19" s="5">
        <v>45954.131944444445</v>
      </c>
      <c r="G19" s="5">
        <v>45955.3125</v>
      </c>
      <c r="H19" s="2">
        <v>119</v>
      </c>
      <c r="I19" s="12">
        <f t="shared" si="0"/>
        <v>1.1805555555547471</v>
      </c>
      <c r="J19" s="13">
        <f t="shared" si="1"/>
        <v>32.333333333313931</v>
      </c>
    </row>
    <row r="20" spans="2:10" x14ac:dyDescent="0.35">
      <c r="B20" s="3" t="s">
        <v>35</v>
      </c>
      <c r="C20" s="4" t="s">
        <v>17</v>
      </c>
      <c r="D20" s="3">
        <f>E20-120</f>
        <v>55</v>
      </c>
      <c r="E20" s="3">
        <v>175</v>
      </c>
      <c r="F20" s="5">
        <v>45954.145833333336</v>
      </c>
      <c r="G20" s="5">
        <v>45954.791666666664</v>
      </c>
      <c r="H20" s="2">
        <v>120</v>
      </c>
      <c r="I20" s="12">
        <f t="shared" si="0"/>
        <v>0.64583333332848269</v>
      </c>
      <c r="J20" s="13">
        <f t="shared" si="1"/>
        <v>19.499999999883585</v>
      </c>
    </row>
    <row r="21" spans="2:10" x14ac:dyDescent="0.35">
      <c r="B21" s="3" t="s">
        <v>48</v>
      </c>
      <c r="C21" s="4" t="s">
        <v>23</v>
      </c>
      <c r="D21" s="3">
        <f>E21-125</f>
        <v>75</v>
      </c>
      <c r="E21" s="3">
        <v>200</v>
      </c>
      <c r="F21" s="5">
        <v>45955.173611111109</v>
      </c>
      <c r="G21" s="5">
        <v>45957.243055555555</v>
      </c>
      <c r="H21" s="2">
        <v>125</v>
      </c>
      <c r="I21" s="12">
        <f t="shared" si="0"/>
        <v>2.0694444444452529</v>
      </c>
      <c r="J21" s="13">
        <f t="shared" si="1"/>
        <v>53.666666666686069</v>
      </c>
    </row>
    <row r="22" spans="2:10" x14ac:dyDescent="0.35">
      <c r="B22" s="3" t="s">
        <v>49</v>
      </c>
      <c r="C22" s="4" t="s">
        <v>17</v>
      </c>
      <c r="D22" s="3">
        <f>E22-120</f>
        <v>55</v>
      </c>
      <c r="E22" s="3">
        <v>175</v>
      </c>
      <c r="F22" s="5">
        <v>45955.15625</v>
      </c>
      <c r="G22" s="5">
        <v>45955.861111111109</v>
      </c>
      <c r="H22" s="2">
        <v>120</v>
      </c>
      <c r="I22" s="12">
        <f t="shared" si="0"/>
        <v>0.70486111110949423</v>
      </c>
      <c r="J22" s="13">
        <f t="shared" si="1"/>
        <v>20.916666666627862</v>
      </c>
    </row>
    <row r="23" spans="2:10" x14ac:dyDescent="0.35">
      <c r="B23" s="3" t="s">
        <v>50</v>
      </c>
      <c r="C23" s="4" t="s">
        <v>17</v>
      </c>
      <c r="D23" s="3">
        <f>E23-190</f>
        <v>-15</v>
      </c>
      <c r="E23" s="3">
        <v>175</v>
      </c>
      <c r="F23" s="5">
        <v>45956.927083333336</v>
      </c>
      <c r="G23" s="5">
        <v>45963.854166666664</v>
      </c>
      <c r="H23" s="2">
        <v>190</v>
      </c>
      <c r="I23" s="12">
        <f t="shared" si="0"/>
        <v>6.9270833333284827</v>
      </c>
      <c r="J23" s="13">
        <f t="shared" si="1"/>
        <v>170.24999999988358</v>
      </c>
    </row>
    <row r="24" spans="2:10" x14ac:dyDescent="0.35">
      <c r="B24" s="3" t="s">
        <v>51</v>
      </c>
      <c r="C24" s="4" t="s">
        <v>29</v>
      </c>
      <c r="D24" s="3">
        <v>10</v>
      </c>
      <c r="E24" s="3">
        <f>D24+147</f>
        <v>157</v>
      </c>
      <c r="F24" s="5">
        <v>45958.708333333336</v>
      </c>
      <c r="G24" s="5">
        <v>45959.75</v>
      </c>
      <c r="H24" s="2">
        <v>147</v>
      </c>
      <c r="I24" s="12">
        <f t="shared" si="0"/>
        <v>1.0416666666642413</v>
      </c>
      <c r="J24" s="13">
        <f t="shared" si="1"/>
        <v>28.999999999941792</v>
      </c>
    </row>
    <row r="25" spans="2:10" x14ac:dyDescent="0.35">
      <c r="B25" s="3" t="s">
        <v>52</v>
      </c>
      <c r="C25" s="4" t="s">
        <v>23</v>
      </c>
      <c r="D25" s="3">
        <v>-7</v>
      </c>
      <c r="E25" s="3">
        <f>D25+180</f>
        <v>173</v>
      </c>
      <c r="F25" s="5">
        <v>45959.350694444445</v>
      </c>
      <c r="G25" s="5">
        <v>45962.5</v>
      </c>
      <c r="H25" s="2">
        <v>180</v>
      </c>
      <c r="I25" s="12">
        <f t="shared" si="0"/>
        <v>3.1493055555547471</v>
      </c>
      <c r="J25" s="13">
        <f t="shared" si="1"/>
        <v>79.583333333313931</v>
      </c>
    </row>
    <row r="26" spans="2:10" x14ac:dyDescent="0.35">
      <c r="B26" s="3" t="s">
        <v>37</v>
      </c>
      <c r="C26" s="4" t="s">
        <v>29</v>
      </c>
      <c r="D26" s="3">
        <v>8</v>
      </c>
      <c r="E26" s="3">
        <f>D26+110</f>
        <v>118</v>
      </c>
      <c r="F26" s="5">
        <v>45959.895833333336</v>
      </c>
      <c r="G26" s="5">
        <v>45963.1875</v>
      </c>
      <c r="H26" s="2">
        <v>108</v>
      </c>
      <c r="I26" s="12">
        <f t="shared" si="0"/>
        <v>3.2916666666642413</v>
      </c>
      <c r="J26" s="13">
        <f t="shared" si="1"/>
        <v>82.999999999941792</v>
      </c>
    </row>
    <row r="27" spans="2:10" x14ac:dyDescent="0.35">
      <c r="B27" s="7" t="s">
        <v>53</v>
      </c>
      <c r="C27" s="8" t="s">
        <v>29</v>
      </c>
      <c r="D27" s="7">
        <v>130</v>
      </c>
      <c r="E27" s="7">
        <f>D27+107</f>
        <v>237</v>
      </c>
      <c r="F27" s="9">
        <v>45960.75</v>
      </c>
      <c r="G27" s="9">
        <v>45962.177083333336</v>
      </c>
      <c r="H27" s="2">
        <v>106</v>
      </c>
      <c r="I27" s="12">
        <f t="shared" si="0"/>
        <v>1.4270833333357587</v>
      </c>
      <c r="J27" s="13">
        <f t="shared" si="1"/>
        <v>38.250000000058208</v>
      </c>
    </row>
    <row r="28" spans="2:10" ht="21" x14ac:dyDescent="0.35">
      <c r="B28" s="11" t="s">
        <v>55</v>
      </c>
      <c r="C28" s="1" t="s">
        <v>62</v>
      </c>
      <c r="D28" s="1">
        <v>355</v>
      </c>
      <c r="E28" s="1">
        <f>D28+119</f>
        <v>474</v>
      </c>
      <c r="F28" s="9">
        <v>45932.329861111109</v>
      </c>
      <c r="G28" s="9">
        <v>45932.861111111109</v>
      </c>
      <c r="H28" s="2">
        <v>119</v>
      </c>
      <c r="I28" s="12">
        <f t="shared" si="0"/>
        <v>0.53125</v>
      </c>
      <c r="J28" s="13">
        <f t="shared" si="1"/>
        <v>16.75</v>
      </c>
    </row>
    <row r="29" spans="2:10" ht="21" x14ac:dyDescent="0.35">
      <c r="B29" s="11" t="s">
        <v>56</v>
      </c>
      <c r="C29" s="1" t="s">
        <v>54</v>
      </c>
      <c r="D29" s="1">
        <f>E29-150</f>
        <v>183</v>
      </c>
      <c r="E29" s="1">
        <v>333</v>
      </c>
      <c r="F29" s="9">
        <v>45932.302083333336</v>
      </c>
      <c r="G29" s="9">
        <v>45933.222222222219</v>
      </c>
      <c r="H29" s="2">
        <v>150</v>
      </c>
      <c r="I29" s="12">
        <f t="shared" si="0"/>
        <v>0.92013888888322981</v>
      </c>
      <c r="J29" s="13">
        <f t="shared" si="1"/>
        <v>26.083333333197515</v>
      </c>
    </row>
    <row r="30" spans="2:10" ht="21" x14ac:dyDescent="0.35">
      <c r="B30" s="11" t="s">
        <v>57</v>
      </c>
      <c r="C30" s="1" t="s">
        <v>23</v>
      </c>
      <c r="D30" s="1">
        <v>14</v>
      </c>
      <c r="E30" s="1">
        <f>D30+150</f>
        <v>164</v>
      </c>
      <c r="F30" s="9">
        <v>45932.902777777781</v>
      </c>
      <c r="G30" s="9">
        <v>45934.472222222219</v>
      </c>
      <c r="H30" s="2">
        <v>150</v>
      </c>
      <c r="I30" s="12">
        <f t="shared" si="0"/>
        <v>1.5694444444379769</v>
      </c>
      <c r="J30" s="13">
        <f t="shared" si="1"/>
        <v>41.666666666511446</v>
      </c>
    </row>
    <row r="31" spans="2:10" ht="21" x14ac:dyDescent="0.35">
      <c r="B31" s="11" t="s">
        <v>58</v>
      </c>
      <c r="C31" s="1" t="s">
        <v>62</v>
      </c>
      <c r="D31" s="1">
        <v>355</v>
      </c>
      <c r="E31" s="1">
        <f>D31+119</f>
        <v>474</v>
      </c>
      <c r="F31" s="9">
        <v>45934.069444444445</v>
      </c>
      <c r="G31" s="9">
        <v>45934.9375</v>
      </c>
      <c r="H31" s="2">
        <v>124</v>
      </c>
      <c r="I31" s="12">
        <f t="shared" si="0"/>
        <v>0.86805555555474712</v>
      </c>
      <c r="J31" s="13">
        <f t="shared" si="1"/>
        <v>24.833333333313931</v>
      </c>
    </row>
    <row r="32" spans="2:10" ht="21" x14ac:dyDescent="0.35">
      <c r="B32" s="11" t="s">
        <v>59</v>
      </c>
      <c r="C32" s="1" t="s">
        <v>54</v>
      </c>
      <c r="D32" s="1">
        <f>E32-121</f>
        <v>189</v>
      </c>
      <c r="E32" s="1">
        <v>310</v>
      </c>
      <c r="F32" s="9">
        <v>45933.996527777781</v>
      </c>
      <c r="G32" s="9">
        <v>45934.958333333336</v>
      </c>
      <c r="H32" s="2">
        <v>121</v>
      </c>
      <c r="I32" s="12">
        <f t="shared" si="0"/>
        <v>0.96180555555474712</v>
      </c>
      <c r="J32" s="13">
        <f t="shared" si="1"/>
        <v>27.083333333313931</v>
      </c>
    </row>
    <row r="33" spans="2:10" ht="21" x14ac:dyDescent="0.35">
      <c r="B33" s="11" t="s">
        <v>60</v>
      </c>
      <c r="C33" s="1" t="s">
        <v>62</v>
      </c>
      <c r="D33" s="1">
        <v>350</v>
      </c>
      <c r="E33" s="1">
        <f>D33+121</f>
        <v>471</v>
      </c>
      <c r="F33" s="9">
        <v>45936.527777777781</v>
      </c>
      <c r="G33" s="9">
        <v>45937.1875</v>
      </c>
      <c r="H33" s="2">
        <v>121</v>
      </c>
      <c r="I33" s="12">
        <f t="shared" si="0"/>
        <v>0.65972222221898846</v>
      </c>
      <c r="J33" s="13">
        <f t="shared" si="1"/>
        <v>19.833333333255723</v>
      </c>
    </row>
    <row r="34" spans="2:10" ht="21" x14ac:dyDescent="0.35">
      <c r="B34" s="11" t="s">
        <v>61</v>
      </c>
      <c r="C34" s="1" t="s">
        <v>54</v>
      </c>
      <c r="D34" s="1">
        <f>E34-100</f>
        <v>210</v>
      </c>
      <c r="E34" s="1">
        <v>310</v>
      </c>
      <c r="F34" s="9">
        <v>45937.041666666664</v>
      </c>
      <c r="G34" s="9">
        <v>45937.5</v>
      </c>
      <c r="H34" s="2">
        <v>100</v>
      </c>
      <c r="I34" s="12">
        <f t="shared" si="0"/>
        <v>0.45833333333575865</v>
      </c>
      <c r="J34" s="13">
        <f t="shared" si="1"/>
        <v>15.000000000058208</v>
      </c>
    </row>
    <row r="35" spans="2:10" ht="21" x14ac:dyDescent="0.35">
      <c r="B35" s="11" t="s">
        <v>55</v>
      </c>
      <c r="C35" s="1" t="s">
        <v>54</v>
      </c>
      <c r="D35" s="1">
        <f>E35-119</f>
        <v>191</v>
      </c>
      <c r="E35" s="1">
        <v>310</v>
      </c>
      <c r="F35" s="9">
        <v>45940.097222222219</v>
      </c>
      <c r="G35" s="9">
        <v>45940.583333333336</v>
      </c>
      <c r="H35" s="2">
        <v>119</v>
      </c>
      <c r="I35" s="12">
        <f t="shared" si="0"/>
        <v>0.48611111111677019</v>
      </c>
      <c r="J35" s="13">
        <f t="shared" si="1"/>
        <v>15.666666666802485</v>
      </c>
    </row>
    <row r="36" spans="2:10" ht="21" x14ac:dyDescent="0.35">
      <c r="B36" s="11" t="s">
        <v>56</v>
      </c>
      <c r="C36" s="1" t="s">
        <v>62</v>
      </c>
      <c r="D36" s="1">
        <v>350</v>
      </c>
      <c r="E36" s="1">
        <f>D36+150</f>
        <v>500</v>
      </c>
      <c r="F36" s="9">
        <v>45940.645833333336</v>
      </c>
      <c r="G36" s="9">
        <v>45941.583333333336</v>
      </c>
      <c r="H36" s="2">
        <v>150</v>
      </c>
      <c r="I36" s="12">
        <f t="shared" si="0"/>
        <v>0.9375</v>
      </c>
      <c r="J36" s="13">
        <f t="shared" si="1"/>
        <v>26.5</v>
      </c>
    </row>
    <row r="37" spans="2:10" ht="21" x14ac:dyDescent="0.35">
      <c r="B37" s="11" t="s">
        <v>59</v>
      </c>
      <c r="C37" s="1" t="s">
        <v>62</v>
      </c>
      <c r="D37" s="1">
        <v>355</v>
      </c>
      <c r="E37" s="1">
        <f>D37+121</f>
        <v>476</v>
      </c>
      <c r="F37" s="9">
        <v>45941.635416666664</v>
      </c>
      <c r="G37" s="9">
        <v>45942.166666666664</v>
      </c>
      <c r="H37" s="2">
        <v>121</v>
      </c>
      <c r="I37" s="12">
        <f t="shared" si="0"/>
        <v>0.53125</v>
      </c>
      <c r="J37" s="13">
        <f t="shared" si="1"/>
        <v>16.75</v>
      </c>
    </row>
    <row r="38" spans="2:10" ht="21" x14ac:dyDescent="0.35">
      <c r="B38" s="11" t="s">
        <v>58</v>
      </c>
      <c r="C38" s="1" t="s">
        <v>54</v>
      </c>
      <c r="D38" s="1">
        <v>167</v>
      </c>
      <c r="E38" s="1">
        <v>291</v>
      </c>
      <c r="F38" s="9">
        <v>45942.385416666664</v>
      </c>
      <c r="G38" s="9">
        <v>45943</v>
      </c>
      <c r="H38" s="2">
        <v>124</v>
      </c>
      <c r="I38" s="12">
        <f t="shared" si="0"/>
        <v>0.61458333333575865</v>
      </c>
      <c r="J38" s="13">
        <f t="shared" si="1"/>
        <v>18.750000000058208</v>
      </c>
    </row>
    <row r="39" spans="2:10" ht="21" x14ac:dyDescent="0.35">
      <c r="B39" s="11" t="s">
        <v>57</v>
      </c>
      <c r="C39" s="1" t="s">
        <v>62</v>
      </c>
      <c r="D39" s="1">
        <v>330</v>
      </c>
      <c r="E39" s="1">
        <v>480</v>
      </c>
      <c r="F39" s="9">
        <v>45943.090277777781</v>
      </c>
      <c r="G39" s="9">
        <v>45943.979166666664</v>
      </c>
      <c r="H39" s="2">
        <v>150</v>
      </c>
      <c r="I39" s="12">
        <f t="shared" si="0"/>
        <v>0.88888888888322981</v>
      </c>
      <c r="J39" s="13">
        <f t="shared" si="1"/>
        <v>25.333333333197515</v>
      </c>
    </row>
    <row r="40" spans="2:10" ht="21" x14ac:dyDescent="0.35">
      <c r="B40" s="11" t="s">
        <v>60</v>
      </c>
      <c r="C40" s="1" t="s">
        <v>62</v>
      </c>
      <c r="D40" s="1">
        <v>370</v>
      </c>
      <c r="E40" s="1">
        <f>D40+121</f>
        <v>491</v>
      </c>
      <c r="F40" s="9">
        <v>45944.197916666664</v>
      </c>
      <c r="G40" s="9">
        <v>45945.375</v>
      </c>
      <c r="H40" s="2">
        <v>121</v>
      </c>
      <c r="I40" s="12">
        <f t="shared" si="0"/>
        <v>1.1770833333357587</v>
      </c>
      <c r="J40" s="13">
        <f t="shared" si="1"/>
        <v>32.250000000058208</v>
      </c>
    </row>
    <row r="41" spans="2:10" ht="21" x14ac:dyDescent="0.35">
      <c r="B41" s="11" t="s">
        <v>61</v>
      </c>
      <c r="C41" s="1" t="s">
        <v>62</v>
      </c>
      <c r="D41" s="1">
        <v>365</v>
      </c>
      <c r="E41" s="1">
        <f>D41+100</f>
        <v>465</v>
      </c>
      <c r="F41" s="9">
        <v>45946.489583333336</v>
      </c>
      <c r="G41" s="9">
        <v>45946.875</v>
      </c>
      <c r="H41" s="2">
        <v>100</v>
      </c>
      <c r="I41" s="12">
        <f t="shared" si="0"/>
        <v>0.38541666666424135</v>
      </c>
      <c r="J41" s="13">
        <f t="shared" si="1"/>
        <v>13.249999999941792</v>
      </c>
    </row>
    <row r="42" spans="2:10" ht="21" x14ac:dyDescent="0.35">
      <c r="B42" s="11" t="s">
        <v>55</v>
      </c>
      <c r="C42" s="1" t="s">
        <v>62</v>
      </c>
      <c r="D42" s="1">
        <v>365</v>
      </c>
      <c r="E42" s="1">
        <f>D42+119</f>
        <v>484</v>
      </c>
      <c r="F42" s="9">
        <v>45947.552083333336</v>
      </c>
      <c r="G42" s="9">
        <v>45948.145833333336</v>
      </c>
      <c r="H42" s="2">
        <v>119</v>
      </c>
      <c r="I42" s="12">
        <f t="shared" si="0"/>
        <v>0.59375</v>
      </c>
      <c r="J42" s="13">
        <f t="shared" si="1"/>
        <v>18.25</v>
      </c>
    </row>
    <row r="43" spans="2:10" ht="21" x14ac:dyDescent="0.35">
      <c r="B43" s="11" t="s">
        <v>56</v>
      </c>
      <c r="C43" s="1" t="s">
        <v>62</v>
      </c>
      <c r="D43" s="1">
        <v>340</v>
      </c>
      <c r="E43" s="1">
        <f>D43+150</f>
        <v>490</v>
      </c>
      <c r="F43" s="9">
        <v>45948.690972222219</v>
      </c>
      <c r="G43" s="9">
        <v>45949.486111111109</v>
      </c>
      <c r="H43" s="2">
        <v>150</v>
      </c>
      <c r="I43" s="12">
        <f t="shared" si="0"/>
        <v>0.79513888889050577</v>
      </c>
      <c r="J43" s="13">
        <f t="shared" si="1"/>
        <v>23.083333333372138</v>
      </c>
    </row>
    <row r="44" spans="2:10" ht="21" x14ac:dyDescent="0.35">
      <c r="B44" s="11" t="s">
        <v>59</v>
      </c>
      <c r="C44" s="1" t="s">
        <v>54</v>
      </c>
      <c r="D44" s="1">
        <f>E44-121</f>
        <v>199</v>
      </c>
      <c r="E44" s="1">
        <v>320</v>
      </c>
      <c r="F44" s="9">
        <v>45949.201388888891</v>
      </c>
      <c r="G44" s="9">
        <v>45949.916666666664</v>
      </c>
      <c r="H44" s="2">
        <v>121</v>
      </c>
      <c r="I44" s="12">
        <f t="shared" si="0"/>
        <v>0.71527777777373558</v>
      </c>
      <c r="J44" s="13">
        <f t="shared" si="1"/>
        <v>21.166666666569654</v>
      </c>
    </row>
    <row r="45" spans="2:10" ht="21" x14ac:dyDescent="0.35">
      <c r="B45" s="11" t="s">
        <v>57</v>
      </c>
      <c r="C45" s="1" t="s">
        <v>54</v>
      </c>
      <c r="D45" s="1">
        <v>200</v>
      </c>
      <c r="E45" s="1">
        <f>D45+150</f>
        <v>350</v>
      </c>
      <c r="F45" s="9">
        <v>45950.0625</v>
      </c>
      <c r="G45" s="9">
        <v>45951.041666666664</v>
      </c>
      <c r="H45" s="2">
        <v>150</v>
      </c>
      <c r="I45" s="12">
        <f t="shared" si="0"/>
        <v>0.97916666666424135</v>
      </c>
      <c r="J45" s="13">
        <f t="shared" si="1"/>
        <v>27.499999999941792</v>
      </c>
    </row>
    <row r="46" spans="2:10" ht="21" x14ac:dyDescent="0.35">
      <c r="B46" s="11" t="s">
        <v>58</v>
      </c>
      <c r="C46" s="1" t="s">
        <v>62</v>
      </c>
      <c r="D46" s="1">
        <v>370</v>
      </c>
      <c r="E46" s="1">
        <f>D46+124</f>
        <v>494</v>
      </c>
      <c r="F46" s="9">
        <v>45949.527777777781</v>
      </c>
      <c r="G46" s="9">
        <v>45951.1875</v>
      </c>
      <c r="H46" s="2">
        <v>124</v>
      </c>
      <c r="I46" s="12">
        <f t="shared" si="0"/>
        <v>1.6597222222189885</v>
      </c>
      <c r="J46" s="13">
        <f t="shared" si="1"/>
        <v>43.833333333255723</v>
      </c>
    </row>
    <row r="47" spans="2:10" ht="21" x14ac:dyDescent="0.35">
      <c r="B47" s="11" t="s">
        <v>60</v>
      </c>
      <c r="C47" s="1" t="s">
        <v>62</v>
      </c>
      <c r="D47" s="1">
        <v>380</v>
      </c>
      <c r="E47" s="1">
        <f>D47+121</f>
        <v>501</v>
      </c>
      <c r="F47" s="9">
        <v>45953.621527777781</v>
      </c>
      <c r="G47" s="9">
        <v>45954.25</v>
      </c>
      <c r="H47" s="2">
        <v>121</v>
      </c>
      <c r="I47" s="12">
        <f t="shared" si="0"/>
        <v>0.62847222221898846</v>
      </c>
      <c r="J47" s="13">
        <f t="shared" si="1"/>
        <v>19.083333333255723</v>
      </c>
    </row>
    <row r="48" spans="2:10" ht="21" x14ac:dyDescent="0.35">
      <c r="B48" s="11" t="s">
        <v>55</v>
      </c>
      <c r="C48" s="1" t="s">
        <v>62</v>
      </c>
      <c r="D48" s="1">
        <v>380</v>
      </c>
      <c r="E48" s="1">
        <f>D48+119</f>
        <v>499</v>
      </c>
      <c r="F48" s="9">
        <v>45955.690972222219</v>
      </c>
      <c r="G48" s="9">
        <v>45956.229166666664</v>
      </c>
      <c r="H48" s="2">
        <v>119</v>
      </c>
      <c r="I48" s="12">
        <f t="shared" si="0"/>
        <v>0.53819444444525288</v>
      </c>
      <c r="J48" s="13">
        <f t="shared" si="1"/>
        <v>16.916666666686069</v>
      </c>
    </row>
    <row r="49" spans="2:10" ht="21" x14ac:dyDescent="0.35">
      <c r="B49" s="11" t="s">
        <v>61</v>
      </c>
      <c r="C49" s="1" t="s">
        <v>23</v>
      </c>
      <c r="D49" s="1">
        <v>15</v>
      </c>
      <c r="E49" s="1">
        <f>D49+100</f>
        <v>115</v>
      </c>
      <c r="F49" s="9">
        <v>45957.864583333336</v>
      </c>
      <c r="G49" s="9">
        <v>45958.625</v>
      </c>
      <c r="H49" s="2">
        <v>100</v>
      </c>
      <c r="I49" s="12">
        <f t="shared" si="0"/>
        <v>0.76041666666424135</v>
      </c>
      <c r="J49" s="13">
        <f t="shared" si="1"/>
        <v>22.249999999941792</v>
      </c>
    </row>
    <row r="50" spans="2:10" ht="21" x14ac:dyDescent="0.35">
      <c r="B50" s="11" t="s">
        <v>56</v>
      </c>
      <c r="C50" s="1" t="s">
        <v>62</v>
      </c>
      <c r="D50" s="1">
        <v>380</v>
      </c>
      <c r="E50" s="1">
        <f>D50+150</f>
        <v>530</v>
      </c>
      <c r="F50" s="9">
        <v>45958.020833333336</v>
      </c>
      <c r="G50" s="9">
        <v>45958.965277777781</v>
      </c>
      <c r="H50" s="2">
        <v>150</v>
      </c>
      <c r="I50" s="12">
        <f t="shared" si="0"/>
        <v>0.94444444444525288</v>
      </c>
      <c r="J50" s="13">
        <f t="shared" si="1"/>
        <v>26.666666666686069</v>
      </c>
    </row>
    <row r="51" spans="2:10" ht="21" x14ac:dyDescent="0.35">
      <c r="B51" s="11" t="s">
        <v>58</v>
      </c>
      <c r="C51" s="1" t="s">
        <v>23</v>
      </c>
      <c r="D51" s="1">
        <v>14</v>
      </c>
      <c r="E51" s="1">
        <f>D51+124</f>
        <v>138</v>
      </c>
      <c r="F51" s="9">
        <v>45958.788194444445</v>
      </c>
      <c r="G51" s="9">
        <v>45959.329861111109</v>
      </c>
      <c r="H51" s="2">
        <v>124</v>
      </c>
      <c r="I51" s="12">
        <f t="shared" si="0"/>
        <v>0.54166666666424135</v>
      </c>
      <c r="J51" s="13">
        <f t="shared" si="1"/>
        <v>16.999999999941792</v>
      </c>
    </row>
    <row r="52" spans="2:10" ht="21" x14ac:dyDescent="0.35">
      <c r="B52" s="11" t="s">
        <v>57</v>
      </c>
      <c r="C52" s="1" t="s">
        <v>62</v>
      </c>
      <c r="D52" s="1">
        <v>380</v>
      </c>
      <c r="E52" s="1">
        <f>D52+150</f>
        <v>530</v>
      </c>
      <c r="F52" s="9">
        <v>45959.013888888891</v>
      </c>
      <c r="G52" s="9">
        <v>45959.666666666664</v>
      </c>
      <c r="H52" s="2">
        <v>150</v>
      </c>
      <c r="I52" s="12">
        <f t="shared" si="0"/>
        <v>0.65277777777373558</v>
      </c>
      <c r="J52" s="13">
        <f t="shared" si="1"/>
        <v>19.666666666569654</v>
      </c>
    </row>
    <row r="53" spans="2:10" ht="21" x14ac:dyDescent="0.35">
      <c r="B53" s="11" t="s">
        <v>59</v>
      </c>
      <c r="C53" s="1" t="s">
        <v>62</v>
      </c>
      <c r="D53" s="1">
        <v>380</v>
      </c>
      <c r="E53" s="1">
        <v>501</v>
      </c>
      <c r="F53" s="9">
        <v>45960.798611111109</v>
      </c>
      <c r="G53" s="9">
        <v>45961.375</v>
      </c>
      <c r="H53" s="2">
        <v>121</v>
      </c>
      <c r="I53" s="12">
        <f t="shared" si="0"/>
        <v>0.57638888889050577</v>
      </c>
      <c r="J53" s="13">
        <f t="shared" si="1"/>
        <v>17.833333333372138</v>
      </c>
    </row>
    <row r="54" spans="2:10" x14ac:dyDescent="0.35">
      <c r="I54" s="13">
        <f>SUM(I2:I53)</f>
        <v>75.395833333292103</v>
      </c>
      <c r="J54" s="13">
        <f>SUM(J2:J53)</f>
        <v>2017.4999999990105</v>
      </c>
    </row>
    <row r="57" spans="2:10" x14ac:dyDescent="0.35">
      <c r="B57" s="2" t="s">
        <v>17</v>
      </c>
      <c r="C57" s="2">
        <f ca="1">SUMIF($C$2:$I$53,B57,$I$2:$I$53)</f>
        <v>13.868055555547471</v>
      </c>
      <c r="D57" s="14">
        <f ca="1">C57/29</f>
        <v>0.47820881226025763</v>
      </c>
      <c r="E57" s="14"/>
    </row>
    <row r="58" spans="2:10" x14ac:dyDescent="0.35">
      <c r="B58" s="2" t="s">
        <v>23</v>
      </c>
      <c r="C58" s="2">
        <f t="shared" ref="C58:C61" ca="1" si="2">SUMIF($C$2:$I$53,B58,$I$2:$I$53)</f>
        <v>12.399305555540195</v>
      </c>
    </row>
    <row r="59" spans="2:10" x14ac:dyDescent="0.35">
      <c r="B59" s="2" t="s">
        <v>54</v>
      </c>
      <c r="C59" s="2">
        <f t="shared" ca="1" si="2"/>
        <v>22.156250000007276</v>
      </c>
    </row>
    <row r="60" spans="2:10" x14ac:dyDescent="0.35">
      <c r="B60" s="2" t="s">
        <v>62</v>
      </c>
      <c r="C60" s="2">
        <f t="shared" ca="1" si="2"/>
        <v>12.368055555540195</v>
      </c>
    </row>
    <row r="61" spans="2:10" x14ac:dyDescent="0.35">
      <c r="B61" s="2" t="s">
        <v>29</v>
      </c>
      <c r="C61" s="2">
        <f t="shared" ca="1" si="2"/>
        <v>14.604166666656965</v>
      </c>
    </row>
    <row r="64" spans="2:10" x14ac:dyDescent="0.35">
      <c r="B64" s="2" t="s">
        <v>17</v>
      </c>
      <c r="C64" s="2">
        <f ca="1">SUMIF($C$2:$J$53,B64,$J$2:$J$53)</f>
        <v>356.83333333313931</v>
      </c>
      <c r="D64" s="2">
        <f ca="1">C64/(29*24)</f>
        <v>0.5126915708809473</v>
      </c>
    </row>
    <row r="65" spans="2:4" x14ac:dyDescent="0.35">
      <c r="B65" s="2" t="s">
        <v>23</v>
      </c>
      <c r="C65" s="2">
        <f t="shared" ref="C65:C68" ca="1" si="3">SUMIF($C$2:$J$53,B65,$J$2:$J$53)</f>
        <v>333.58333333296468</v>
      </c>
      <c r="D65" s="2">
        <f t="shared" ref="D65:D68" ca="1" si="4">C65/(29*24)</f>
        <v>0.4792863984669033</v>
      </c>
    </row>
    <row r="66" spans="2:4" x14ac:dyDescent="0.35">
      <c r="B66" s="2" t="s">
        <v>54</v>
      </c>
      <c r="C66" s="2">
        <f t="shared" ca="1" si="3"/>
        <v>583.75000000017462</v>
      </c>
      <c r="D66" s="2">
        <f t="shared" ca="1" si="4"/>
        <v>0.83872126436806693</v>
      </c>
    </row>
    <row r="67" spans="2:4" x14ac:dyDescent="0.35">
      <c r="B67" s="2" t="s">
        <v>62</v>
      </c>
      <c r="C67" s="2">
        <f t="shared" ca="1" si="3"/>
        <v>360.83333333296468</v>
      </c>
      <c r="D67" s="2">
        <f t="shared" ca="1" si="4"/>
        <v>0.51843869731747805</v>
      </c>
    </row>
    <row r="68" spans="2:4" x14ac:dyDescent="0.35">
      <c r="B68" s="2" t="s">
        <v>29</v>
      </c>
      <c r="C68" s="2">
        <f t="shared" ca="1" si="3"/>
        <v>382.49999999976717</v>
      </c>
      <c r="D68" s="2">
        <f t="shared" ca="1" si="4"/>
        <v>0.54956896551690682</v>
      </c>
    </row>
    <row r="69" spans="2:4" x14ac:dyDescent="0.35">
      <c r="C69" s="2">
        <f ca="1">SUM(C64:C68)</f>
        <v>2017.4999999990105</v>
      </c>
    </row>
  </sheetData>
  <autoFilter ref="A1:H53" xr:uid="{A748D5F7-6271-4D9B-803E-E1FFD0F906C4}"/>
  <pageMargins left="0.7" right="0.7" top="0.75" bottom="0.75" header="0.3" footer="0.3"/>
  <pageSetup paperSize="9" scale="3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Ships</vt:lpstr>
      <vt:lpstr>Ships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nvkhaithac.tt</dc:creator>
  <cp:lastModifiedBy>Nguyen Hoang</cp:lastModifiedBy>
  <cp:lastPrinted>2025-11-11T04:55:17Z</cp:lastPrinted>
  <dcterms:created xsi:type="dcterms:W3CDTF">2025-11-10T04:22:56Z</dcterms:created>
  <dcterms:modified xsi:type="dcterms:W3CDTF">2025-11-22T15:17:38Z</dcterms:modified>
</cp:coreProperties>
</file>