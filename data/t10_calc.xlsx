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f782525ea99d260/CODE/v0/data/"/>
    </mc:Choice>
  </mc:AlternateContent>
  <xr:revisionPtr revIDLastSave="3" documentId="11_0AE3EDD8D3226E5DE46018074C595AEEAAC73525" xr6:coauthVersionLast="47" xr6:coauthVersionMax="47" xr10:uidLastSave="{84E6668E-0E55-440A-9A70-3C3B55CA5950}"/>
  <bookViews>
    <workbookView xWindow="-108" yWindow="-108" windowWidth="23256" windowHeight="13896" xr2:uid="{00000000-000D-0000-FFFF-FFFF00000000}"/>
  </bookViews>
  <sheets>
    <sheet name="Data" sheetId="1" r:id="rId1"/>
    <sheet name="Settings" sheetId="2" r:id="rId2"/>
    <sheet name="Calc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73" i="3" l="1"/>
  <c r="B771" i="3"/>
  <c r="F769" i="3"/>
  <c r="E769" i="3"/>
  <c r="D769" i="3"/>
  <c r="C769" i="3"/>
  <c r="B769" i="3"/>
  <c r="F768" i="3"/>
  <c r="E768" i="3"/>
  <c r="D768" i="3"/>
  <c r="C768" i="3"/>
  <c r="B768" i="3"/>
  <c r="F767" i="3"/>
  <c r="E767" i="3"/>
  <c r="D767" i="3"/>
  <c r="C767" i="3"/>
  <c r="B767" i="3"/>
  <c r="F766" i="3"/>
  <c r="E766" i="3"/>
  <c r="D766" i="3"/>
  <c r="C766" i="3"/>
  <c r="B766" i="3"/>
  <c r="F765" i="3"/>
  <c r="E765" i="3"/>
  <c r="D765" i="3"/>
  <c r="C765" i="3"/>
  <c r="B765" i="3"/>
  <c r="F764" i="3"/>
  <c r="E764" i="3"/>
  <c r="D764" i="3"/>
  <c r="C764" i="3"/>
  <c r="B764" i="3"/>
  <c r="F763" i="3"/>
  <c r="E763" i="3"/>
  <c r="D763" i="3"/>
  <c r="C763" i="3"/>
  <c r="B763" i="3"/>
  <c r="F762" i="3"/>
  <c r="E762" i="3"/>
  <c r="D762" i="3"/>
  <c r="C762" i="3"/>
  <c r="B762" i="3"/>
  <c r="F761" i="3"/>
  <c r="E761" i="3"/>
  <c r="D761" i="3"/>
  <c r="C761" i="3"/>
  <c r="B761" i="3"/>
  <c r="F760" i="3"/>
  <c r="E760" i="3"/>
  <c r="D760" i="3"/>
  <c r="C760" i="3"/>
  <c r="B760" i="3"/>
  <c r="F759" i="3"/>
  <c r="E759" i="3"/>
  <c r="D759" i="3"/>
  <c r="C759" i="3"/>
  <c r="B759" i="3"/>
  <c r="F758" i="3"/>
  <c r="E758" i="3"/>
  <c r="D758" i="3"/>
  <c r="C758" i="3"/>
  <c r="B758" i="3"/>
  <c r="F757" i="3"/>
  <c r="E757" i="3"/>
  <c r="D757" i="3"/>
  <c r="C757" i="3"/>
  <c r="B757" i="3"/>
  <c r="F756" i="3"/>
  <c r="E756" i="3"/>
  <c r="D756" i="3"/>
  <c r="C756" i="3"/>
  <c r="B756" i="3"/>
  <c r="F755" i="3"/>
  <c r="E755" i="3"/>
  <c r="D755" i="3"/>
  <c r="C755" i="3"/>
  <c r="B755" i="3"/>
  <c r="F754" i="3"/>
  <c r="E754" i="3"/>
  <c r="D754" i="3"/>
  <c r="C754" i="3"/>
  <c r="B754" i="3"/>
  <c r="F753" i="3"/>
  <c r="E753" i="3"/>
  <c r="D753" i="3"/>
  <c r="C753" i="3"/>
  <c r="B753" i="3"/>
  <c r="F752" i="3"/>
  <c r="E752" i="3"/>
  <c r="D752" i="3"/>
  <c r="C752" i="3"/>
  <c r="B752" i="3"/>
  <c r="F751" i="3"/>
  <c r="E751" i="3"/>
  <c r="D751" i="3"/>
  <c r="C751" i="3"/>
  <c r="B751" i="3"/>
  <c r="F750" i="3"/>
  <c r="E750" i="3"/>
  <c r="D750" i="3"/>
  <c r="C750" i="3"/>
  <c r="B750" i="3"/>
  <c r="F749" i="3"/>
  <c r="E749" i="3"/>
  <c r="D749" i="3"/>
  <c r="C749" i="3"/>
  <c r="B749" i="3"/>
  <c r="F748" i="3"/>
  <c r="E748" i="3"/>
  <c r="D748" i="3"/>
  <c r="C748" i="3"/>
  <c r="B748" i="3"/>
  <c r="F747" i="3"/>
  <c r="E747" i="3"/>
  <c r="D747" i="3"/>
  <c r="C747" i="3"/>
  <c r="B747" i="3"/>
  <c r="F746" i="3"/>
  <c r="E746" i="3"/>
  <c r="D746" i="3"/>
  <c r="C746" i="3"/>
  <c r="B746" i="3"/>
  <c r="F745" i="3"/>
  <c r="E745" i="3"/>
  <c r="D745" i="3"/>
  <c r="C745" i="3"/>
  <c r="B745" i="3"/>
  <c r="F744" i="3"/>
  <c r="E744" i="3"/>
  <c r="D744" i="3"/>
  <c r="C744" i="3"/>
  <c r="B744" i="3"/>
  <c r="F743" i="3"/>
  <c r="E743" i="3"/>
  <c r="D743" i="3"/>
  <c r="C743" i="3"/>
  <c r="B743" i="3"/>
  <c r="F742" i="3"/>
  <c r="E742" i="3"/>
  <c r="D742" i="3"/>
  <c r="C742" i="3"/>
  <c r="B742" i="3"/>
  <c r="F741" i="3"/>
  <c r="E741" i="3"/>
  <c r="D741" i="3"/>
  <c r="C741" i="3"/>
  <c r="B741" i="3"/>
  <c r="F740" i="3"/>
  <c r="E740" i="3"/>
  <c r="D740" i="3"/>
  <c r="C740" i="3"/>
  <c r="B740" i="3"/>
  <c r="F739" i="3"/>
  <c r="E739" i="3"/>
  <c r="D739" i="3"/>
  <c r="C739" i="3"/>
  <c r="B739" i="3"/>
  <c r="F738" i="3"/>
  <c r="E738" i="3"/>
  <c r="D738" i="3"/>
  <c r="C738" i="3"/>
  <c r="B738" i="3"/>
  <c r="F737" i="3"/>
  <c r="E737" i="3"/>
  <c r="D737" i="3"/>
  <c r="C737" i="3"/>
  <c r="B737" i="3"/>
  <c r="F736" i="3"/>
  <c r="E736" i="3"/>
  <c r="D736" i="3"/>
  <c r="C736" i="3"/>
  <c r="B736" i="3"/>
  <c r="F735" i="3"/>
  <c r="E735" i="3"/>
  <c r="D735" i="3"/>
  <c r="C735" i="3"/>
  <c r="B735" i="3"/>
  <c r="F734" i="3"/>
  <c r="E734" i="3"/>
  <c r="D734" i="3"/>
  <c r="C734" i="3"/>
  <c r="B734" i="3"/>
  <c r="F733" i="3"/>
  <c r="E733" i="3"/>
  <c r="D733" i="3"/>
  <c r="C733" i="3"/>
  <c r="B733" i="3"/>
  <c r="F732" i="3"/>
  <c r="E732" i="3"/>
  <c r="D732" i="3"/>
  <c r="C732" i="3"/>
  <c r="B732" i="3"/>
  <c r="F731" i="3"/>
  <c r="E731" i="3"/>
  <c r="D731" i="3"/>
  <c r="C731" i="3"/>
  <c r="B731" i="3"/>
  <c r="F730" i="3"/>
  <c r="E730" i="3"/>
  <c r="D730" i="3"/>
  <c r="C730" i="3"/>
  <c r="B730" i="3"/>
  <c r="F729" i="3"/>
  <c r="E729" i="3"/>
  <c r="D729" i="3"/>
  <c r="C729" i="3"/>
  <c r="B729" i="3"/>
  <c r="F728" i="3"/>
  <c r="E728" i="3"/>
  <c r="D728" i="3"/>
  <c r="C728" i="3"/>
  <c r="B728" i="3"/>
  <c r="F727" i="3"/>
  <c r="E727" i="3"/>
  <c r="D727" i="3"/>
  <c r="C727" i="3"/>
  <c r="B727" i="3"/>
  <c r="F726" i="3"/>
  <c r="E726" i="3"/>
  <c r="D726" i="3"/>
  <c r="C726" i="3"/>
  <c r="B726" i="3"/>
  <c r="F725" i="3"/>
  <c r="E725" i="3"/>
  <c r="D725" i="3"/>
  <c r="C725" i="3"/>
  <c r="B725" i="3"/>
  <c r="F724" i="3"/>
  <c r="E724" i="3"/>
  <c r="D724" i="3"/>
  <c r="C724" i="3"/>
  <c r="B724" i="3"/>
  <c r="F723" i="3"/>
  <c r="E723" i="3"/>
  <c r="D723" i="3"/>
  <c r="C723" i="3"/>
  <c r="B723" i="3"/>
  <c r="F722" i="3"/>
  <c r="E722" i="3"/>
  <c r="D722" i="3"/>
  <c r="C722" i="3"/>
  <c r="B722" i="3"/>
  <c r="F721" i="3"/>
  <c r="E721" i="3"/>
  <c r="D721" i="3"/>
  <c r="C721" i="3"/>
  <c r="B721" i="3"/>
  <c r="F720" i="3"/>
  <c r="E720" i="3"/>
  <c r="D720" i="3"/>
  <c r="C720" i="3"/>
  <c r="B720" i="3"/>
  <c r="F719" i="3"/>
  <c r="E719" i="3"/>
  <c r="D719" i="3"/>
  <c r="C719" i="3"/>
  <c r="B719" i="3"/>
  <c r="F718" i="3"/>
  <c r="E718" i="3"/>
  <c r="D718" i="3"/>
  <c r="C718" i="3"/>
  <c r="B718" i="3"/>
  <c r="F717" i="3"/>
  <c r="E717" i="3"/>
  <c r="D717" i="3"/>
  <c r="C717" i="3"/>
  <c r="B717" i="3"/>
  <c r="F716" i="3"/>
  <c r="E716" i="3"/>
  <c r="D716" i="3"/>
  <c r="C716" i="3"/>
  <c r="B716" i="3"/>
  <c r="F715" i="3"/>
  <c r="E715" i="3"/>
  <c r="D715" i="3"/>
  <c r="C715" i="3"/>
  <c r="B715" i="3"/>
  <c r="F714" i="3"/>
  <c r="E714" i="3"/>
  <c r="D714" i="3"/>
  <c r="C714" i="3"/>
  <c r="B714" i="3"/>
  <c r="F713" i="3"/>
  <c r="E713" i="3"/>
  <c r="D713" i="3"/>
  <c r="C713" i="3"/>
  <c r="B713" i="3"/>
  <c r="F712" i="3"/>
  <c r="E712" i="3"/>
  <c r="D712" i="3"/>
  <c r="C712" i="3"/>
  <c r="B712" i="3"/>
  <c r="F711" i="3"/>
  <c r="E711" i="3"/>
  <c r="D711" i="3"/>
  <c r="C711" i="3"/>
  <c r="B711" i="3"/>
  <c r="F710" i="3"/>
  <c r="E710" i="3"/>
  <c r="D710" i="3"/>
  <c r="C710" i="3"/>
  <c r="B710" i="3"/>
  <c r="F709" i="3"/>
  <c r="E709" i="3"/>
  <c r="D709" i="3"/>
  <c r="C709" i="3"/>
  <c r="B709" i="3"/>
  <c r="F708" i="3"/>
  <c r="E708" i="3"/>
  <c r="D708" i="3"/>
  <c r="C708" i="3"/>
  <c r="B708" i="3"/>
  <c r="F707" i="3"/>
  <c r="E707" i="3"/>
  <c r="D707" i="3"/>
  <c r="C707" i="3"/>
  <c r="B707" i="3"/>
  <c r="F706" i="3"/>
  <c r="E706" i="3"/>
  <c r="D706" i="3"/>
  <c r="C706" i="3"/>
  <c r="B706" i="3"/>
  <c r="F705" i="3"/>
  <c r="E705" i="3"/>
  <c r="D705" i="3"/>
  <c r="C705" i="3"/>
  <c r="B705" i="3"/>
  <c r="F704" i="3"/>
  <c r="E704" i="3"/>
  <c r="D704" i="3"/>
  <c r="C704" i="3"/>
  <c r="B704" i="3"/>
  <c r="F703" i="3"/>
  <c r="E703" i="3"/>
  <c r="D703" i="3"/>
  <c r="C703" i="3"/>
  <c r="B703" i="3"/>
  <c r="F702" i="3"/>
  <c r="E702" i="3"/>
  <c r="D702" i="3"/>
  <c r="C702" i="3"/>
  <c r="B702" i="3"/>
  <c r="F701" i="3"/>
  <c r="E701" i="3"/>
  <c r="D701" i="3"/>
  <c r="C701" i="3"/>
  <c r="B701" i="3"/>
  <c r="F700" i="3"/>
  <c r="E700" i="3"/>
  <c r="D700" i="3"/>
  <c r="C700" i="3"/>
  <c r="B700" i="3"/>
  <c r="F699" i="3"/>
  <c r="E699" i="3"/>
  <c r="D699" i="3"/>
  <c r="C699" i="3"/>
  <c r="B699" i="3"/>
  <c r="F698" i="3"/>
  <c r="E698" i="3"/>
  <c r="D698" i="3"/>
  <c r="C698" i="3"/>
  <c r="B698" i="3"/>
  <c r="F697" i="3"/>
  <c r="E697" i="3"/>
  <c r="D697" i="3"/>
  <c r="C697" i="3"/>
  <c r="B697" i="3"/>
  <c r="F696" i="3"/>
  <c r="E696" i="3"/>
  <c r="D696" i="3"/>
  <c r="C696" i="3"/>
  <c r="B696" i="3"/>
  <c r="F695" i="3"/>
  <c r="E695" i="3"/>
  <c r="D695" i="3"/>
  <c r="C695" i="3"/>
  <c r="B695" i="3"/>
  <c r="F694" i="3"/>
  <c r="E694" i="3"/>
  <c r="D694" i="3"/>
  <c r="C694" i="3"/>
  <c r="B694" i="3"/>
  <c r="F693" i="3"/>
  <c r="E693" i="3"/>
  <c r="D693" i="3"/>
  <c r="C693" i="3"/>
  <c r="B693" i="3"/>
  <c r="F692" i="3"/>
  <c r="E692" i="3"/>
  <c r="D692" i="3"/>
  <c r="C692" i="3"/>
  <c r="B692" i="3"/>
  <c r="F691" i="3"/>
  <c r="E691" i="3"/>
  <c r="D691" i="3"/>
  <c r="C691" i="3"/>
  <c r="B691" i="3"/>
  <c r="F690" i="3"/>
  <c r="E690" i="3"/>
  <c r="D690" i="3"/>
  <c r="C690" i="3"/>
  <c r="B690" i="3"/>
  <c r="F689" i="3"/>
  <c r="E689" i="3"/>
  <c r="D689" i="3"/>
  <c r="C689" i="3"/>
  <c r="B689" i="3"/>
  <c r="F688" i="3"/>
  <c r="E688" i="3"/>
  <c r="D688" i="3"/>
  <c r="C688" i="3"/>
  <c r="B688" i="3"/>
  <c r="F687" i="3"/>
  <c r="E687" i="3"/>
  <c r="D687" i="3"/>
  <c r="C687" i="3"/>
  <c r="B687" i="3"/>
  <c r="F686" i="3"/>
  <c r="E686" i="3"/>
  <c r="D686" i="3"/>
  <c r="C686" i="3"/>
  <c r="B686" i="3"/>
  <c r="F685" i="3"/>
  <c r="E685" i="3"/>
  <c r="D685" i="3"/>
  <c r="C685" i="3"/>
  <c r="B685" i="3"/>
  <c r="F684" i="3"/>
  <c r="E684" i="3"/>
  <c r="D684" i="3"/>
  <c r="C684" i="3"/>
  <c r="B684" i="3"/>
  <c r="F683" i="3"/>
  <c r="E683" i="3"/>
  <c r="D683" i="3"/>
  <c r="C683" i="3"/>
  <c r="B683" i="3"/>
  <c r="F682" i="3"/>
  <c r="E682" i="3"/>
  <c r="D682" i="3"/>
  <c r="C682" i="3"/>
  <c r="B682" i="3"/>
  <c r="F681" i="3"/>
  <c r="E681" i="3"/>
  <c r="D681" i="3"/>
  <c r="C681" i="3"/>
  <c r="B681" i="3"/>
  <c r="F680" i="3"/>
  <c r="E680" i="3"/>
  <c r="D680" i="3"/>
  <c r="C680" i="3"/>
  <c r="B680" i="3"/>
  <c r="F679" i="3"/>
  <c r="E679" i="3"/>
  <c r="D679" i="3"/>
  <c r="C679" i="3"/>
  <c r="B679" i="3"/>
  <c r="F678" i="3"/>
  <c r="E678" i="3"/>
  <c r="D678" i="3"/>
  <c r="C678" i="3"/>
  <c r="B678" i="3"/>
  <c r="F677" i="3"/>
  <c r="E677" i="3"/>
  <c r="D677" i="3"/>
  <c r="C677" i="3"/>
  <c r="B677" i="3"/>
  <c r="F676" i="3"/>
  <c r="E676" i="3"/>
  <c r="D676" i="3"/>
  <c r="C676" i="3"/>
  <c r="B676" i="3"/>
  <c r="F675" i="3"/>
  <c r="E675" i="3"/>
  <c r="D675" i="3"/>
  <c r="C675" i="3"/>
  <c r="B675" i="3"/>
  <c r="F674" i="3"/>
  <c r="E674" i="3"/>
  <c r="D674" i="3"/>
  <c r="C674" i="3"/>
  <c r="B674" i="3"/>
  <c r="F673" i="3"/>
  <c r="E673" i="3"/>
  <c r="D673" i="3"/>
  <c r="C673" i="3"/>
  <c r="B673" i="3"/>
  <c r="F672" i="3"/>
  <c r="E672" i="3"/>
  <c r="D672" i="3"/>
  <c r="C672" i="3"/>
  <c r="B672" i="3"/>
  <c r="F671" i="3"/>
  <c r="E671" i="3"/>
  <c r="D671" i="3"/>
  <c r="C671" i="3"/>
  <c r="B671" i="3"/>
  <c r="F670" i="3"/>
  <c r="E670" i="3"/>
  <c r="D670" i="3"/>
  <c r="C670" i="3"/>
  <c r="B670" i="3"/>
  <c r="F669" i="3"/>
  <c r="E669" i="3"/>
  <c r="D669" i="3"/>
  <c r="C669" i="3"/>
  <c r="B669" i="3"/>
  <c r="F668" i="3"/>
  <c r="E668" i="3"/>
  <c r="D668" i="3"/>
  <c r="C668" i="3"/>
  <c r="B668" i="3"/>
  <c r="F667" i="3"/>
  <c r="E667" i="3"/>
  <c r="D667" i="3"/>
  <c r="C667" i="3"/>
  <c r="B667" i="3"/>
  <c r="F666" i="3"/>
  <c r="E666" i="3"/>
  <c r="D666" i="3"/>
  <c r="C666" i="3"/>
  <c r="B666" i="3"/>
  <c r="F665" i="3"/>
  <c r="E665" i="3"/>
  <c r="D665" i="3"/>
  <c r="C665" i="3"/>
  <c r="B665" i="3"/>
  <c r="F664" i="3"/>
  <c r="E664" i="3"/>
  <c r="D664" i="3"/>
  <c r="C664" i="3"/>
  <c r="B664" i="3"/>
  <c r="F663" i="3"/>
  <c r="E663" i="3"/>
  <c r="D663" i="3"/>
  <c r="C663" i="3"/>
  <c r="B663" i="3"/>
  <c r="F662" i="3"/>
  <c r="E662" i="3"/>
  <c r="D662" i="3"/>
  <c r="C662" i="3"/>
  <c r="B662" i="3"/>
  <c r="F661" i="3"/>
  <c r="E661" i="3"/>
  <c r="D661" i="3"/>
  <c r="C661" i="3"/>
  <c r="B661" i="3"/>
  <c r="F660" i="3"/>
  <c r="E660" i="3"/>
  <c r="D660" i="3"/>
  <c r="C660" i="3"/>
  <c r="B660" i="3"/>
  <c r="F659" i="3"/>
  <c r="E659" i="3"/>
  <c r="D659" i="3"/>
  <c r="C659" i="3"/>
  <c r="B659" i="3"/>
  <c r="F658" i="3"/>
  <c r="E658" i="3"/>
  <c r="D658" i="3"/>
  <c r="C658" i="3"/>
  <c r="B658" i="3"/>
  <c r="F657" i="3"/>
  <c r="E657" i="3"/>
  <c r="D657" i="3"/>
  <c r="C657" i="3"/>
  <c r="B657" i="3"/>
  <c r="F656" i="3"/>
  <c r="E656" i="3"/>
  <c r="D656" i="3"/>
  <c r="C656" i="3"/>
  <c r="B656" i="3"/>
  <c r="F655" i="3"/>
  <c r="E655" i="3"/>
  <c r="D655" i="3"/>
  <c r="C655" i="3"/>
  <c r="B655" i="3"/>
  <c r="F654" i="3"/>
  <c r="E654" i="3"/>
  <c r="D654" i="3"/>
  <c r="C654" i="3"/>
  <c r="B654" i="3"/>
  <c r="F653" i="3"/>
  <c r="E653" i="3"/>
  <c r="D653" i="3"/>
  <c r="C653" i="3"/>
  <c r="B653" i="3"/>
  <c r="F652" i="3"/>
  <c r="E652" i="3"/>
  <c r="D652" i="3"/>
  <c r="C652" i="3"/>
  <c r="B652" i="3"/>
  <c r="F651" i="3"/>
  <c r="E651" i="3"/>
  <c r="D651" i="3"/>
  <c r="C651" i="3"/>
  <c r="B651" i="3"/>
  <c r="F650" i="3"/>
  <c r="E650" i="3"/>
  <c r="D650" i="3"/>
  <c r="C650" i="3"/>
  <c r="B650" i="3"/>
  <c r="F649" i="3"/>
  <c r="E649" i="3"/>
  <c r="D649" i="3"/>
  <c r="C649" i="3"/>
  <c r="B649" i="3"/>
  <c r="F648" i="3"/>
  <c r="E648" i="3"/>
  <c r="D648" i="3"/>
  <c r="C648" i="3"/>
  <c r="B648" i="3"/>
  <c r="F647" i="3"/>
  <c r="E647" i="3"/>
  <c r="D647" i="3"/>
  <c r="C647" i="3"/>
  <c r="B647" i="3"/>
  <c r="F646" i="3"/>
  <c r="E646" i="3"/>
  <c r="D646" i="3"/>
  <c r="C646" i="3"/>
  <c r="B646" i="3"/>
  <c r="F645" i="3"/>
  <c r="E645" i="3"/>
  <c r="D645" i="3"/>
  <c r="C645" i="3"/>
  <c r="B645" i="3"/>
  <c r="F644" i="3"/>
  <c r="E644" i="3"/>
  <c r="D644" i="3"/>
  <c r="C644" i="3"/>
  <c r="B644" i="3"/>
  <c r="F643" i="3"/>
  <c r="E643" i="3"/>
  <c r="D643" i="3"/>
  <c r="C643" i="3"/>
  <c r="B643" i="3"/>
  <c r="F642" i="3"/>
  <c r="E642" i="3"/>
  <c r="D642" i="3"/>
  <c r="C642" i="3"/>
  <c r="B642" i="3"/>
  <c r="F641" i="3"/>
  <c r="E641" i="3"/>
  <c r="D641" i="3"/>
  <c r="C641" i="3"/>
  <c r="B641" i="3"/>
  <c r="F640" i="3"/>
  <c r="E640" i="3"/>
  <c r="D640" i="3"/>
  <c r="C640" i="3"/>
  <c r="B640" i="3"/>
  <c r="F639" i="3"/>
  <c r="E639" i="3"/>
  <c r="D639" i="3"/>
  <c r="C639" i="3"/>
  <c r="B639" i="3"/>
  <c r="F638" i="3"/>
  <c r="E638" i="3"/>
  <c r="D638" i="3"/>
  <c r="C638" i="3"/>
  <c r="B638" i="3"/>
  <c r="F637" i="3"/>
  <c r="E637" i="3"/>
  <c r="D637" i="3"/>
  <c r="C637" i="3"/>
  <c r="B637" i="3"/>
  <c r="F636" i="3"/>
  <c r="E636" i="3"/>
  <c r="D636" i="3"/>
  <c r="C636" i="3"/>
  <c r="B636" i="3"/>
  <c r="F635" i="3"/>
  <c r="E635" i="3"/>
  <c r="D635" i="3"/>
  <c r="C635" i="3"/>
  <c r="B635" i="3"/>
  <c r="F634" i="3"/>
  <c r="E634" i="3"/>
  <c r="D634" i="3"/>
  <c r="C634" i="3"/>
  <c r="B634" i="3"/>
  <c r="F633" i="3"/>
  <c r="E633" i="3"/>
  <c r="D633" i="3"/>
  <c r="C633" i="3"/>
  <c r="B633" i="3"/>
  <c r="F632" i="3"/>
  <c r="E632" i="3"/>
  <c r="D632" i="3"/>
  <c r="C632" i="3"/>
  <c r="B632" i="3"/>
  <c r="F631" i="3"/>
  <c r="E631" i="3"/>
  <c r="D631" i="3"/>
  <c r="C631" i="3"/>
  <c r="B631" i="3"/>
  <c r="F630" i="3"/>
  <c r="E630" i="3"/>
  <c r="D630" i="3"/>
  <c r="C630" i="3"/>
  <c r="B630" i="3"/>
  <c r="F629" i="3"/>
  <c r="E629" i="3"/>
  <c r="D629" i="3"/>
  <c r="C629" i="3"/>
  <c r="B629" i="3"/>
  <c r="F628" i="3"/>
  <c r="E628" i="3"/>
  <c r="D628" i="3"/>
  <c r="C628" i="3"/>
  <c r="B628" i="3"/>
  <c r="F627" i="3"/>
  <c r="E627" i="3"/>
  <c r="D627" i="3"/>
  <c r="C627" i="3"/>
  <c r="B627" i="3"/>
  <c r="F626" i="3"/>
  <c r="E626" i="3"/>
  <c r="D626" i="3"/>
  <c r="C626" i="3"/>
  <c r="B626" i="3"/>
  <c r="F625" i="3"/>
  <c r="E625" i="3"/>
  <c r="D625" i="3"/>
  <c r="C625" i="3"/>
  <c r="B625" i="3"/>
  <c r="F624" i="3"/>
  <c r="E624" i="3"/>
  <c r="D624" i="3"/>
  <c r="C624" i="3"/>
  <c r="B624" i="3"/>
  <c r="F623" i="3"/>
  <c r="E623" i="3"/>
  <c r="D623" i="3"/>
  <c r="C623" i="3"/>
  <c r="B623" i="3"/>
  <c r="F622" i="3"/>
  <c r="E622" i="3"/>
  <c r="D622" i="3"/>
  <c r="C622" i="3"/>
  <c r="B622" i="3"/>
  <c r="F621" i="3"/>
  <c r="E621" i="3"/>
  <c r="D621" i="3"/>
  <c r="C621" i="3"/>
  <c r="B621" i="3"/>
  <c r="F620" i="3"/>
  <c r="E620" i="3"/>
  <c r="D620" i="3"/>
  <c r="C620" i="3"/>
  <c r="B620" i="3"/>
  <c r="F619" i="3"/>
  <c r="E619" i="3"/>
  <c r="D619" i="3"/>
  <c r="C619" i="3"/>
  <c r="B619" i="3"/>
  <c r="F618" i="3"/>
  <c r="E618" i="3"/>
  <c r="D618" i="3"/>
  <c r="C618" i="3"/>
  <c r="B618" i="3"/>
  <c r="F617" i="3"/>
  <c r="E617" i="3"/>
  <c r="D617" i="3"/>
  <c r="C617" i="3"/>
  <c r="B617" i="3"/>
  <c r="F616" i="3"/>
  <c r="E616" i="3"/>
  <c r="D616" i="3"/>
  <c r="C616" i="3"/>
  <c r="B616" i="3"/>
  <c r="F615" i="3"/>
  <c r="E615" i="3"/>
  <c r="D615" i="3"/>
  <c r="C615" i="3"/>
  <c r="B615" i="3"/>
  <c r="F614" i="3"/>
  <c r="E614" i="3"/>
  <c r="D614" i="3"/>
  <c r="C614" i="3"/>
  <c r="B614" i="3"/>
  <c r="F613" i="3"/>
  <c r="E613" i="3"/>
  <c r="D613" i="3"/>
  <c r="C613" i="3"/>
  <c r="B613" i="3"/>
  <c r="F612" i="3"/>
  <c r="E612" i="3"/>
  <c r="D612" i="3"/>
  <c r="C612" i="3"/>
  <c r="B612" i="3"/>
  <c r="F611" i="3"/>
  <c r="E611" i="3"/>
  <c r="D611" i="3"/>
  <c r="C611" i="3"/>
  <c r="B611" i="3"/>
  <c r="F610" i="3"/>
  <c r="E610" i="3"/>
  <c r="D610" i="3"/>
  <c r="C610" i="3"/>
  <c r="B610" i="3"/>
  <c r="F609" i="3"/>
  <c r="E609" i="3"/>
  <c r="D609" i="3"/>
  <c r="C609" i="3"/>
  <c r="B609" i="3"/>
  <c r="F608" i="3"/>
  <c r="E608" i="3"/>
  <c r="D608" i="3"/>
  <c r="C608" i="3"/>
  <c r="B608" i="3"/>
  <c r="F607" i="3"/>
  <c r="E607" i="3"/>
  <c r="D607" i="3"/>
  <c r="C607" i="3"/>
  <c r="B607" i="3"/>
  <c r="F606" i="3"/>
  <c r="E606" i="3"/>
  <c r="D606" i="3"/>
  <c r="C606" i="3"/>
  <c r="B606" i="3"/>
  <c r="F605" i="3"/>
  <c r="E605" i="3"/>
  <c r="D605" i="3"/>
  <c r="C605" i="3"/>
  <c r="B605" i="3"/>
  <c r="F604" i="3"/>
  <c r="E604" i="3"/>
  <c r="D604" i="3"/>
  <c r="C604" i="3"/>
  <c r="B604" i="3"/>
  <c r="F603" i="3"/>
  <c r="E603" i="3"/>
  <c r="D603" i="3"/>
  <c r="C603" i="3"/>
  <c r="B603" i="3"/>
  <c r="F602" i="3"/>
  <c r="E602" i="3"/>
  <c r="D602" i="3"/>
  <c r="C602" i="3"/>
  <c r="B602" i="3"/>
  <c r="F601" i="3"/>
  <c r="E601" i="3"/>
  <c r="D601" i="3"/>
  <c r="C601" i="3"/>
  <c r="B601" i="3"/>
  <c r="F600" i="3"/>
  <c r="E600" i="3"/>
  <c r="D600" i="3"/>
  <c r="C600" i="3"/>
  <c r="B600" i="3"/>
  <c r="F599" i="3"/>
  <c r="E599" i="3"/>
  <c r="D599" i="3"/>
  <c r="C599" i="3"/>
  <c r="B599" i="3"/>
  <c r="F598" i="3"/>
  <c r="E598" i="3"/>
  <c r="D598" i="3"/>
  <c r="C598" i="3"/>
  <c r="B598" i="3"/>
  <c r="F597" i="3"/>
  <c r="E597" i="3"/>
  <c r="D597" i="3"/>
  <c r="C597" i="3"/>
  <c r="B597" i="3"/>
  <c r="F596" i="3"/>
  <c r="E596" i="3"/>
  <c r="D596" i="3"/>
  <c r="C596" i="3"/>
  <c r="B596" i="3"/>
  <c r="F595" i="3"/>
  <c r="E595" i="3"/>
  <c r="D595" i="3"/>
  <c r="C595" i="3"/>
  <c r="B595" i="3"/>
  <c r="F594" i="3"/>
  <c r="E594" i="3"/>
  <c r="D594" i="3"/>
  <c r="C594" i="3"/>
  <c r="B594" i="3"/>
  <c r="F593" i="3"/>
  <c r="E593" i="3"/>
  <c r="D593" i="3"/>
  <c r="C593" i="3"/>
  <c r="B593" i="3"/>
  <c r="F592" i="3"/>
  <c r="E592" i="3"/>
  <c r="D592" i="3"/>
  <c r="C592" i="3"/>
  <c r="B592" i="3"/>
  <c r="F591" i="3"/>
  <c r="E591" i="3"/>
  <c r="D591" i="3"/>
  <c r="C591" i="3"/>
  <c r="B591" i="3"/>
  <c r="F590" i="3"/>
  <c r="E590" i="3"/>
  <c r="D590" i="3"/>
  <c r="C590" i="3"/>
  <c r="B590" i="3"/>
  <c r="F589" i="3"/>
  <c r="E589" i="3"/>
  <c r="D589" i="3"/>
  <c r="C589" i="3"/>
  <c r="B589" i="3"/>
  <c r="F588" i="3"/>
  <c r="E588" i="3"/>
  <c r="D588" i="3"/>
  <c r="C588" i="3"/>
  <c r="B588" i="3"/>
  <c r="F587" i="3"/>
  <c r="E587" i="3"/>
  <c r="D587" i="3"/>
  <c r="C587" i="3"/>
  <c r="B587" i="3"/>
  <c r="F586" i="3"/>
  <c r="E586" i="3"/>
  <c r="D586" i="3"/>
  <c r="C586" i="3"/>
  <c r="B586" i="3"/>
  <c r="F585" i="3"/>
  <c r="E585" i="3"/>
  <c r="D585" i="3"/>
  <c r="C585" i="3"/>
  <c r="B585" i="3"/>
  <c r="F584" i="3"/>
  <c r="E584" i="3"/>
  <c r="D584" i="3"/>
  <c r="C584" i="3"/>
  <c r="B584" i="3"/>
  <c r="F583" i="3"/>
  <c r="E583" i="3"/>
  <c r="D583" i="3"/>
  <c r="C583" i="3"/>
  <c r="B583" i="3"/>
  <c r="F582" i="3"/>
  <c r="E582" i="3"/>
  <c r="D582" i="3"/>
  <c r="C582" i="3"/>
  <c r="B582" i="3"/>
  <c r="F581" i="3"/>
  <c r="E581" i="3"/>
  <c r="D581" i="3"/>
  <c r="C581" i="3"/>
  <c r="B581" i="3"/>
  <c r="F580" i="3"/>
  <c r="E580" i="3"/>
  <c r="D580" i="3"/>
  <c r="C580" i="3"/>
  <c r="B580" i="3"/>
  <c r="F579" i="3"/>
  <c r="E579" i="3"/>
  <c r="D579" i="3"/>
  <c r="C579" i="3"/>
  <c r="B579" i="3"/>
  <c r="F578" i="3"/>
  <c r="E578" i="3"/>
  <c r="D578" i="3"/>
  <c r="C578" i="3"/>
  <c r="B578" i="3"/>
  <c r="F577" i="3"/>
  <c r="E577" i="3"/>
  <c r="D577" i="3"/>
  <c r="C577" i="3"/>
  <c r="B577" i="3"/>
  <c r="F576" i="3"/>
  <c r="E576" i="3"/>
  <c r="D576" i="3"/>
  <c r="C576" i="3"/>
  <c r="B576" i="3"/>
  <c r="F575" i="3"/>
  <c r="E575" i="3"/>
  <c r="D575" i="3"/>
  <c r="C575" i="3"/>
  <c r="B575" i="3"/>
  <c r="F574" i="3"/>
  <c r="E574" i="3"/>
  <c r="D574" i="3"/>
  <c r="C574" i="3"/>
  <c r="B574" i="3"/>
  <c r="F573" i="3"/>
  <c r="E573" i="3"/>
  <c r="D573" i="3"/>
  <c r="C573" i="3"/>
  <c r="B573" i="3"/>
  <c r="F572" i="3"/>
  <c r="E572" i="3"/>
  <c r="D572" i="3"/>
  <c r="C572" i="3"/>
  <c r="B572" i="3"/>
  <c r="F571" i="3"/>
  <c r="E571" i="3"/>
  <c r="D571" i="3"/>
  <c r="C571" i="3"/>
  <c r="B571" i="3"/>
  <c r="F570" i="3"/>
  <c r="E570" i="3"/>
  <c r="D570" i="3"/>
  <c r="C570" i="3"/>
  <c r="B570" i="3"/>
  <c r="F569" i="3"/>
  <c r="E569" i="3"/>
  <c r="D569" i="3"/>
  <c r="C569" i="3"/>
  <c r="B569" i="3"/>
  <c r="F568" i="3"/>
  <c r="E568" i="3"/>
  <c r="D568" i="3"/>
  <c r="C568" i="3"/>
  <c r="B568" i="3"/>
  <c r="F567" i="3"/>
  <c r="E567" i="3"/>
  <c r="D567" i="3"/>
  <c r="C567" i="3"/>
  <c r="B567" i="3"/>
  <c r="F566" i="3"/>
  <c r="E566" i="3"/>
  <c r="D566" i="3"/>
  <c r="C566" i="3"/>
  <c r="B566" i="3"/>
  <c r="F565" i="3"/>
  <c r="E565" i="3"/>
  <c r="D565" i="3"/>
  <c r="C565" i="3"/>
  <c r="B565" i="3"/>
  <c r="F564" i="3"/>
  <c r="E564" i="3"/>
  <c r="D564" i="3"/>
  <c r="C564" i="3"/>
  <c r="B564" i="3"/>
  <c r="F563" i="3"/>
  <c r="E563" i="3"/>
  <c r="D563" i="3"/>
  <c r="C563" i="3"/>
  <c r="B563" i="3"/>
  <c r="F562" i="3"/>
  <c r="E562" i="3"/>
  <c r="D562" i="3"/>
  <c r="C562" i="3"/>
  <c r="B562" i="3"/>
  <c r="F561" i="3"/>
  <c r="E561" i="3"/>
  <c r="D561" i="3"/>
  <c r="C561" i="3"/>
  <c r="B561" i="3"/>
  <c r="F560" i="3"/>
  <c r="E560" i="3"/>
  <c r="D560" i="3"/>
  <c r="C560" i="3"/>
  <c r="B560" i="3"/>
  <c r="F559" i="3"/>
  <c r="E559" i="3"/>
  <c r="D559" i="3"/>
  <c r="C559" i="3"/>
  <c r="B559" i="3"/>
  <c r="F558" i="3"/>
  <c r="E558" i="3"/>
  <c r="D558" i="3"/>
  <c r="C558" i="3"/>
  <c r="B558" i="3"/>
  <c r="F557" i="3"/>
  <c r="E557" i="3"/>
  <c r="D557" i="3"/>
  <c r="C557" i="3"/>
  <c r="B557" i="3"/>
  <c r="F556" i="3"/>
  <c r="E556" i="3"/>
  <c r="D556" i="3"/>
  <c r="C556" i="3"/>
  <c r="B556" i="3"/>
  <c r="F555" i="3"/>
  <c r="E555" i="3"/>
  <c r="D555" i="3"/>
  <c r="C555" i="3"/>
  <c r="B555" i="3"/>
  <c r="F554" i="3"/>
  <c r="E554" i="3"/>
  <c r="D554" i="3"/>
  <c r="C554" i="3"/>
  <c r="B554" i="3"/>
  <c r="F553" i="3"/>
  <c r="E553" i="3"/>
  <c r="D553" i="3"/>
  <c r="C553" i="3"/>
  <c r="B553" i="3"/>
  <c r="F552" i="3"/>
  <c r="E552" i="3"/>
  <c r="D552" i="3"/>
  <c r="C552" i="3"/>
  <c r="B552" i="3"/>
  <c r="F551" i="3"/>
  <c r="E551" i="3"/>
  <c r="D551" i="3"/>
  <c r="C551" i="3"/>
  <c r="B551" i="3"/>
  <c r="F550" i="3"/>
  <c r="E550" i="3"/>
  <c r="D550" i="3"/>
  <c r="C550" i="3"/>
  <c r="B550" i="3"/>
  <c r="F549" i="3"/>
  <c r="E549" i="3"/>
  <c r="D549" i="3"/>
  <c r="C549" i="3"/>
  <c r="B549" i="3"/>
  <c r="F548" i="3"/>
  <c r="E548" i="3"/>
  <c r="D548" i="3"/>
  <c r="C548" i="3"/>
  <c r="B548" i="3"/>
  <c r="F547" i="3"/>
  <c r="E547" i="3"/>
  <c r="D547" i="3"/>
  <c r="C547" i="3"/>
  <c r="B547" i="3"/>
  <c r="F546" i="3"/>
  <c r="E546" i="3"/>
  <c r="D546" i="3"/>
  <c r="C546" i="3"/>
  <c r="B546" i="3"/>
  <c r="F545" i="3"/>
  <c r="E545" i="3"/>
  <c r="D545" i="3"/>
  <c r="C545" i="3"/>
  <c r="B545" i="3"/>
  <c r="F544" i="3"/>
  <c r="E544" i="3"/>
  <c r="D544" i="3"/>
  <c r="C544" i="3"/>
  <c r="B544" i="3"/>
  <c r="F543" i="3"/>
  <c r="E543" i="3"/>
  <c r="D543" i="3"/>
  <c r="C543" i="3"/>
  <c r="B543" i="3"/>
  <c r="F542" i="3"/>
  <c r="E542" i="3"/>
  <c r="D542" i="3"/>
  <c r="C542" i="3"/>
  <c r="B542" i="3"/>
  <c r="F541" i="3"/>
  <c r="E541" i="3"/>
  <c r="D541" i="3"/>
  <c r="C541" i="3"/>
  <c r="B541" i="3"/>
  <c r="F540" i="3"/>
  <c r="E540" i="3"/>
  <c r="D540" i="3"/>
  <c r="C540" i="3"/>
  <c r="B540" i="3"/>
  <c r="F539" i="3"/>
  <c r="E539" i="3"/>
  <c r="D539" i="3"/>
  <c r="C539" i="3"/>
  <c r="B539" i="3"/>
  <c r="F538" i="3"/>
  <c r="E538" i="3"/>
  <c r="D538" i="3"/>
  <c r="C538" i="3"/>
  <c r="B538" i="3"/>
  <c r="F537" i="3"/>
  <c r="E537" i="3"/>
  <c r="D537" i="3"/>
  <c r="C537" i="3"/>
  <c r="B537" i="3"/>
  <c r="F536" i="3"/>
  <c r="E536" i="3"/>
  <c r="D536" i="3"/>
  <c r="C536" i="3"/>
  <c r="B536" i="3"/>
  <c r="F535" i="3"/>
  <c r="E535" i="3"/>
  <c r="D535" i="3"/>
  <c r="C535" i="3"/>
  <c r="B535" i="3"/>
  <c r="F534" i="3"/>
  <c r="E534" i="3"/>
  <c r="D534" i="3"/>
  <c r="C534" i="3"/>
  <c r="B534" i="3"/>
  <c r="F533" i="3"/>
  <c r="E533" i="3"/>
  <c r="D533" i="3"/>
  <c r="C533" i="3"/>
  <c r="B533" i="3"/>
  <c r="F532" i="3"/>
  <c r="E532" i="3"/>
  <c r="D532" i="3"/>
  <c r="C532" i="3"/>
  <c r="B532" i="3"/>
  <c r="F531" i="3"/>
  <c r="E531" i="3"/>
  <c r="D531" i="3"/>
  <c r="C531" i="3"/>
  <c r="B531" i="3"/>
  <c r="F530" i="3"/>
  <c r="E530" i="3"/>
  <c r="D530" i="3"/>
  <c r="C530" i="3"/>
  <c r="B530" i="3"/>
  <c r="F529" i="3"/>
  <c r="E529" i="3"/>
  <c r="D529" i="3"/>
  <c r="C529" i="3"/>
  <c r="B529" i="3"/>
  <c r="F528" i="3"/>
  <c r="E528" i="3"/>
  <c r="D528" i="3"/>
  <c r="C528" i="3"/>
  <c r="B528" i="3"/>
  <c r="F527" i="3"/>
  <c r="E527" i="3"/>
  <c r="D527" i="3"/>
  <c r="C527" i="3"/>
  <c r="B527" i="3"/>
  <c r="F526" i="3"/>
  <c r="E526" i="3"/>
  <c r="D526" i="3"/>
  <c r="C526" i="3"/>
  <c r="B526" i="3"/>
  <c r="F525" i="3"/>
  <c r="E525" i="3"/>
  <c r="D525" i="3"/>
  <c r="C525" i="3"/>
  <c r="B525" i="3"/>
  <c r="F524" i="3"/>
  <c r="E524" i="3"/>
  <c r="D524" i="3"/>
  <c r="C524" i="3"/>
  <c r="B524" i="3"/>
  <c r="F523" i="3"/>
  <c r="E523" i="3"/>
  <c r="D523" i="3"/>
  <c r="C523" i="3"/>
  <c r="B523" i="3"/>
  <c r="F522" i="3"/>
  <c r="E522" i="3"/>
  <c r="D522" i="3"/>
  <c r="C522" i="3"/>
  <c r="B522" i="3"/>
  <c r="F521" i="3"/>
  <c r="E521" i="3"/>
  <c r="D521" i="3"/>
  <c r="C521" i="3"/>
  <c r="B521" i="3"/>
  <c r="F520" i="3"/>
  <c r="E520" i="3"/>
  <c r="D520" i="3"/>
  <c r="C520" i="3"/>
  <c r="B520" i="3"/>
  <c r="F519" i="3"/>
  <c r="E519" i="3"/>
  <c r="D519" i="3"/>
  <c r="C519" i="3"/>
  <c r="B519" i="3"/>
  <c r="F518" i="3"/>
  <c r="E518" i="3"/>
  <c r="D518" i="3"/>
  <c r="C518" i="3"/>
  <c r="B518" i="3"/>
  <c r="F517" i="3"/>
  <c r="E517" i="3"/>
  <c r="D517" i="3"/>
  <c r="C517" i="3"/>
  <c r="B517" i="3"/>
  <c r="F516" i="3"/>
  <c r="E516" i="3"/>
  <c r="D516" i="3"/>
  <c r="C516" i="3"/>
  <c r="B516" i="3"/>
  <c r="F515" i="3"/>
  <c r="E515" i="3"/>
  <c r="D515" i="3"/>
  <c r="C515" i="3"/>
  <c r="B515" i="3"/>
  <c r="F514" i="3"/>
  <c r="E514" i="3"/>
  <c r="D514" i="3"/>
  <c r="C514" i="3"/>
  <c r="B514" i="3"/>
  <c r="F513" i="3"/>
  <c r="E513" i="3"/>
  <c r="D513" i="3"/>
  <c r="C513" i="3"/>
  <c r="B513" i="3"/>
  <c r="F512" i="3"/>
  <c r="E512" i="3"/>
  <c r="D512" i="3"/>
  <c r="C512" i="3"/>
  <c r="B512" i="3"/>
  <c r="F511" i="3"/>
  <c r="E511" i="3"/>
  <c r="D511" i="3"/>
  <c r="C511" i="3"/>
  <c r="B511" i="3"/>
  <c r="F510" i="3"/>
  <c r="E510" i="3"/>
  <c r="D510" i="3"/>
  <c r="C510" i="3"/>
  <c r="B510" i="3"/>
  <c r="F509" i="3"/>
  <c r="E509" i="3"/>
  <c r="D509" i="3"/>
  <c r="C509" i="3"/>
  <c r="B509" i="3"/>
  <c r="F508" i="3"/>
  <c r="E508" i="3"/>
  <c r="D508" i="3"/>
  <c r="C508" i="3"/>
  <c r="B508" i="3"/>
  <c r="F507" i="3"/>
  <c r="E507" i="3"/>
  <c r="D507" i="3"/>
  <c r="C507" i="3"/>
  <c r="B507" i="3"/>
  <c r="F506" i="3"/>
  <c r="E506" i="3"/>
  <c r="D506" i="3"/>
  <c r="C506" i="3"/>
  <c r="B506" i="3"/>
  <c r="F505" i="3"/>
  <c r="E505" i="3"/>
  <c r="D505" i="3"/>
  <c r="C505" i="3"/>
  <c r="B505" i="3"/>
  <c r="F504" i="3"/>
  <c r="E504" i="3"/>
  <c r="D504" i="3"/>
  <c r="C504" i="3"/>
  <c r="B504" i="3"/>
  <c r="F503" i="3"/>
  <c r="E503" i="3"/>
  <c r="D503" i="3"/>
  <c r="C503" i="3"/>
  <c r="B503" i="3"/>
  <c r="F502" i="3"/>
  <c r="E502" i="3"/>
  <c r="D502" i="3"/>
  <c r="C502" i="3"/>
  <c r="B502" i="3"/>
  <c r="F501" i="3"/>
  <c r="E501" i="3"/>
  <c r="D501" i="3"/>
  <c r="C501" i="3"/>
  <c r="B501" i="3"/>
  <c r="F500" i="3"/>
  <c r="E500" i="3"/>
  <c r="D500" i="3"/>
  <c r="C500" i="3"/>
  <c r="B500" i="3"/>
  <c r="F499" i="3"/>
  <c r="E499" i="3"/>
  <c r="D499" i="3"/>
  <c r="C499" i="3"/>
  <c r="B499" i="3"/>
  <c r="F498" i="3"/>
  <c r="E498" i="3"/>
  <c r="D498" i="3"/>
  <c r="C498" i="3"/>
  <c r="B498" i="3"/>
  <c r="F497" i="3"/>
  <c r="E497" i="3"/>
  <c r="D497" i="3"/>
  <c r="C497" i="3"/>
  <c r="B497" i="3"/>
  <c r="F496" i="3"/>
  <c r="E496" i="3"/>
  <c r="D496" i="3"/>
  <c r="C496" i="3"/>
  <c r="B496" i="3"/>
  <c r="F495" i="3"/>
  <c r="E495" i="3"/>
  <c r="D495" i="3"/>
  <c r="C495" i="3"/>
  <c r="B495" i="3"/>
  <c r="F494" i="3"/>
  <c r="E494" i="3"/>
  <c r="D494" i="3"/>
  <c r="C494" i="3"/>
  <c r="B494" i="3"/>
  <c r="F493" i="3"/>
  <c r="E493" i="3"/>
  <c r="D493" i="3"/>
  <c r="C493" i="3"/>
  <c r="B493" i="3"/>
  <c r="F492" i="3"/>
  <c r="E492" i="3"/>
  <c r="D492" i="3"/>
  <c r="C492" i="3"/>
  <c r="B492" i="3"/>
  <c r="F491" i="3"/>
  <c r="E491" i="3"/>
  <c r="D491" i="3"/>
  <c r="C491" i="3"/>
  <c r="B491" i="3"/>
  <c r="F490" i="3"/>
  <c r="E490" i="3"/>
  <c r="D490" i="3"/>
  <c r="C490" i="3"/>
  <c r="B490" i="3"/>
  <c r="F489" i="3"/>
  <c r="E489" i="3"/>
  <c r="D489" i="3"/>
  <c r="C489" i="3"/>
  <c r="B489" i="3"/>
  <c r="F488" i="3"/>
  <c r="E488" i="3"/>
  <c r="D488" i="3"/>
  <c r="C488" i="3"/>
  <c r="B488" i="3"/>
  <c r="F487" i="3"/>
  <c r="E487" i="3"/>
  <c r="D487" i="3"/>
  <c r="C487" i="3"/>
  <c r="B487" i="3"/>
  <c r="F486" i="3"/>
  <c r="E486" i="3"/>
  <c r="D486" i="3"/>
  <c r="C486" i="3"/>
  <c r="B486" i="3"/>
  <c r="F485" i="3"/>
  <c r="E485" i="3"/>
  <c r="D485" i="3"/>
  <c r="C485" i="3"/>
  <c r="B485" i="3"/>
  <c r="F484" i="3"/>
  <c r="E484" i="3"/>
  <c r="D484" i="3"/>
  <c r="C484" i="3"/>
  <c r="B484" i="3"/>
  <c r="F483" i="3"/>
  <c r="E483" i="3"/>
  <c r="D483" i="3"/>
  <c r="C483" i="3"/>
  <c r="B483" i="3"/>
  <c r="F482" i="3"/>
  <c r="E482" i="3"/>
  <c r="D482" i="3"/>
  <c r="C482" i="3"/>
  <c r="B482" i="3"/>
  <c r="F481" i="3"/>
  <c r="E481" i="3"/>
  <c r="D481" i="3"/>
  <c r="C481" i="3"/>
  <c r="B481" i="3"/>
  <c r="F480" i="3"/>
  <c r="E480" i="3"/>
  <c r="D480" i="3"/>
  <c r="C480" i="3"/>
  <c r="B480" i="3"/>
  <c r="F479" i="3"/>
  <c r="E479" i="3"/>
  <c r="D479" i="3"/>
  <c r="C479" i="3"/>
  <c r="B479" i="3"/>
  <c r="F478" i="3"/>
  <c r="E478" i="3"/>
  <c r="D478" i="3"/>
  <c r="C478" i="3"/>
  <c r="B478" i="3"/>
  <c r="F477" i="3"/>
  <c r="E477" i="3"/>
  <c r="D477" i="3"/>
  <c r="C477" i="3"/>
  <c r="B477" i="3"/>
  <c r="F476" i="3"/>
  <c r="E476" i="3"/>
  <c r="D476" i="3"/>
  <c r="C476" i="3"/>
  <c r="B476" i="3"/>
  <c r="F475" i="3"/>
  <c r="E475" i="3"/>
  <c r="D475" i="3"/>
  <c r="C475" i="3"/>
  <c r="B475" i="3"/>
  <c r="F474" i="3"/>
  <c r="E474" i="3"/>
  <c r="D474" i="3"/>
  <c r="C474" i="3"/>
  <c r="B474" i="3"/>
  <c r="F473" i="3"/>
  <c r="E473" i="3"/>
  <c r="D473" i="3"/>
  <c r="C473" i="3"/>
  <c r="B473" i="3"/>
  <c r="F472" i="3"/>
  <c r="E472" i="3"/>
  <c r="D472" i="3"/>
  <c r="C472" i="3"/>
  <c r="B472" i="3"/>
  <c r="F471" i="3"/>
  <c r="E471" i="3"/>
  <c r="D471" i="3"/>
  <c r="C471" i="3"/>
  <c r="B471" i="3"/>
  <c r="F470" i="3"/>
  <c r="E470" i="3"/>
  <c r="D470" i="3"/>
  <c r="C470" i="3"/>
  <c r="B470" i="3"/>
  <c r="F469" i="3"/>
  <c r="E469" i="3"/>
  <c r="D469" i="3"/>
  <c r="C469" i="3"/>
  <c r="B469" i="3"/>
  <c r="F468" i="3"/>
  <c r="E468" i="3"/>
  <c r="D468" i="3"/>
  <c r="C468" i="3"/>
  <c r="B468" i="3"/>
  <c r="F467" i="3"/>
  <c r="E467" i="3"/>
  <c r="D467" i="3"/>
  <c r="C467" i="3"/>
  <c r="B467" i="3"/>
  <c r="F466" i="3"/>
  <c r="E466" i="3"/>
  <c r="D466" i="3"/>
  <c r="C466" i="3"/>
  <c r="B466" i="3"/>
  <c r="F465" i="3"/>
  <c r="E465" i="3"/>
  <c r="D465" i="3"/>
  <c r="C465" i="3"/>
  <c r="B465" i="3"/>
  <c r="F464" i="3"/>
  <c r="E464" i="3"/>
  <c r="D464" i="3"/>
  <c r="C464" i="3"/>
  <c r="B464" i="3"/>
  <c r="F463" i="3"/>
  <c r="E463" i="3"/>
  <c r="D463" i="3"/>
  <c r="C463" i="3"/>
  <c r="B463" i="3"/>
  <c r="F462" i="3"/>
  <c r="E462" i="3"/>
  <c r="D462" i="3"/>
  <c r="C462" i="3"/>
  <c r="B462" i="3"/>
  <c r="F461" i="3"/>
  <c r="E461" i="3"/>
  <c r="D461" i="3"/>
  <c r="C461" i="3"/>
  <c r="B461" i="3"/>
  <c r="F460" i="3"/>
  <c r="E460" i="3"/>
  <c r="D460" i="3"/>
  <c r="C460" i="3"/>
  <c r="B460" i="3"/>
  <c r="F459" i="3"/>
  <c r="E459" i="3"/>
  <c r="D459" i="3"/>
  <c r="C459" i="3"/>
  <c r="B459" i="3"/>
  <c r="F458" i="3"/>
  <c r="E458" i="3"/>
  <c r="D458" i="3"/>
  <c r="C458" i="3"/>
  <c r="B458" i="3"/>
  <c r="F457" i="3"/>
  <c r="E457" i="3"/>
  <c r="D457" i="3"/>
  <c r="C457" i="3"/>
  <c r="B457" i="3"/>
  <c r="F456" i="3"/>
  <c r="E456" i="3"/>
  <c r="D456" i="3"/>
  <c r="C456" i="3"/>
  <c r="B456" i="3"/>
  <c r="F455" i="3"/>
  <c r="E455" i="3"/>
  <c r="D455" i="3"/>
  <c r="C455" i="3"/>
  <c r="B455" i="3"/>
  <c r="F454" i="3"/>
  <c r="E454" i="3"/>
  <c r="D454" i="3"/>
  <c r="C454" i="3"/>
  <c r="B454" i="3"/>
  <c r="F453" i="3"/>
  <c r="E453" i="3"/>
  <c r="D453" i="3"/>
  <c r="C453" i="3"/>
  <c r="B453" i="3"/>
  <c r="F452" i="3"/>
  <c r="E452" i="3"/>
  <c r="D452" i="3"/>
  <c r="C452" i="3"/>
  <c r="B452" i="3"/>
  <c r="F451" i="3"/>
  <c r="E451" i="3"/>
  <c r="D451" i="3"/>
  <c r="C451" i="3"/>
  <c r="B451" i="3"/>
  <c r="F450" i="3"/>
  <c r="E450" i="3"/>
  <c r="D450" i="3"/>
  <c r="C450" i="3"/>
  <c r="B450" i="3"/>
  <c r="F449" i="3"/>
  <c r="E449" i="3"/>
  <c r="D449" i="3"/>
  <c r="C449" i="3"/>
  <c r="B449" i="3"/>
  <c r="F448" i="3"/>
  <c r="E448" i="3"/>
  <c r="D448" i="3"/>
  <c r="C448" i="3"/>
  <c r="B448" i="3"/>
  <c r="F447" i="3"/>
  <c r="E447" i="3"/>
  <c r="D447" i="3"/>
  <c r="C447" i="3"/>
  <c r="B447" i="3"/>
  <c r="F446" i="3"/>
  <c r="E446" i="3"/>
  <c r="D446" i="3"/>
  <c r="C446" i="3"/>
  <c r="B446" i="3"/>
  <c r="F445" i="3"/>
  <c r="E445" i="3"/>
  <c r="D445" i="3"/>
  <c r="C445" i="3"/>
  <c r="B445" i="3"/>
  <c r="F444" i="3"/>
  <c r="E444" i="3"/>
  <c r="D444" i="3"/>
  <c r="C444" i="3"/>
  <c r="B444" i="3"/>
  <c r="F443" i="3"/>
  <c r="E443" i="3"/>
  <c r="D443" i="3"/>
  <c r="C443" i="3"/>
  <c r="B443" i="3"/>
  <c r="F442" i="3"/>
  <c r="E442" i="3"/>
  <c r="D442" i="3"/>
  <c r="C442" i="3"/>
  <c r="B442" i="3"/>
  <c r="F441" i="3"/>
  <c r="E441" i="3"/>
  <c r="D441" i="3"/>
  <c r="C441" i="3"/>
  <c r="B441" i="3"/>
  <c r="F440" i="3"/>
  <c r="E440" i="3"/>
  <c r="D440" i="3"/>
  <c r="C440" i="3"/>
  <c r="B440" i="3"/>
  <c r="F439" i="3"/>
  <c r="E439" i="3"/>
  <c r="D439" i="3"/>
  <c r="C439" i="3"/>
  <c r="B439" i="3"/>
  <c r="F438" i="3"/>
  <c r="E438" i="3"/>
  <c r="D438" i="3"/>
  <c r="C438" i="3"/>
  <c r="B438" i="3"/>
  <c r="F437" i="3"/>
  <c r="E437" i="3"/>
  <c r="D437" i="3"/>
  <c r="C437" i="3"/>
  <c r="B437" i="3"/>
  <c r="F436" i="3"/>
  <c r="E436" i="3"/>
  <c r="D436" i="3"/>
  <c r="C436" i="3"/>
  <c r="B436" i="3"/>
  <c r="F435" i="3"/>
  <c r="E435" i="3"/>
  <c r="D435" i="3"/>
  <c r="C435" i="3"/>
  <c r="B435" i="3"/>
  <c r="F434" i="3"/>
  <c r="E434" i="3"/>
  <c r="D434" i="3"/>
  <c r="C434" i="3"/>
  <c r="B434" i="3"/>
  <c r="F433" i="3"/>
  <c r="E433" i="3"/>
  <c r="D433" i="3"/>
  <c r="C433" i="3"/>
  <c r="B433" i="3"/>
  <c r="F432" i="3"/>
  <c r="E432" i="3"/>
  <c r="D432" i="3"/>
  <c r="C432" i="3"/>
  <c r="B432" i="3"/>
  <c r="F431" i="3"/>
  <c r="E431" i="3"/>
  <c r="D431" i="3"/>
  <c r="C431" i="3"/>
  <c r="B431" i="3"/>
  <c r="F430" i="3"/>
  <c r="E430" i="3"/>
  <c r="D430" i="3"/>
  <c r="C430" i="3"/>
  <c r="B430" i="3"/>
  <c r="F429" i="3"/>
  <c r="E429" i="3"/>
  <c r="D429" i="3"/>
  <c r="C429" i="3"/>
  <c r="B429" i="3"/>
  <c r="F428" i="3"/>
  <c r="E428" i="3"/>
  <c r="D428" i="3"/>
  <c r="C428" i="3"/>
  <c r="B428" i="3"/>
  <c r="F427" i="3"/>
  <c r="E427" i="3"/>
  <c r="D427" i="3"/>
  <c r="C427" i="3"/>
  <c r="B427" i="3"/>
  <c r="F426" i="3"/>
  <c r="E426" i="3"/>
  <c r="D426" i="3"/>
  <c r="C426" i="3"/>
  <c r="B426" i="3"/>
  <c r="F425" i="3"/>
  <c r="E425" i="3"/>
  <c r="D425" i="3"/>
  <c r="C425" i="3"/>
  <c r="B425" i="3"/>
  <c r="F424" i="3"/>
  <c r="E424" i="3"/>
  <c r="D424" i="3"/>
  <c r="C424" i="3"/>
  <c r="B424" i="3"/>
  <c r="F423" i="3"/>
  <c r="E423" i="3"/>
  <c r="D423" i="3"/>
  <c r="C423" i="3"/>
  <c r="B423" i="3"/>
  <c r="F422" i="3"/>
  <c r="E422" i="3"/>
  <c r="D422" i="3"/>
  <c r="C422" i="3"/>
  <c r="B422" i="3"/>
  <c r="F421" i="3"/>
  <c r="E421" i="3"/>
  <c r="D421" i="3"/>
  <c r="C421" i="3"/>
  <c r="B421" i="3"/>
  <c r="F420" i="3"/>
  <c r="E420" i="3"/>
  <c r="D420" i="3"/>
  <c r="C420" i="3"/>
  <c r="B420" i="3"/>
  <c r="F419" i="3"/>
  <c r="E419" i="3"/>
  <c r="D419" i="3"/>
  <c r="C419" i="3"/>
  <c r="B419" i="3"/>
  <c r="F418" i="3"/>
  <c r="E418" i="3"/>
  <c r="D418" i="3"/>
  <c r="C418" i="3"/>
  <c r="B418" i="3"/>
  <c r="F417" i="3"/>
  <c r="E417" i="3"/>
  <c r="D417" i="3"/>
  <c r="C417" i="3"/>
  <c r="B417" i="3"/>
  <c r="F416" i="3"/>
  <c r="E416" i="3"/>
  <c r="D416" i="3"/>
  <c r="C416" i="3"/>
  <c r="B416" i="3"/>
  <c r="F415" i="3"/>
  <c r="E415" i="3"/>
  <c r="D415" i="3"/>
  <c r="C415" i="3"/>
  <c r="B415" i="3"/>
  <c r="F414" i="3"/>
  <c r="E414" i="3"/>
  <c r="D414" i="3"/>
  <c r="C414" i="3"/>
  <c r="B414" i="3"/>
  <c r="F413" i="3"/>
  <c r="E413" i="3"/>
  <c r="D413" i="3"/>
  <c r="C413" i="3"/>
  <c r="B413" i="3"/>
  <c r="F412" i="3"/>
  <c r="E412" i="3"/>
  <c r="D412" i="3"/>
  <c r="C412" i="3"/>
  <c r="B412" i="3"/>
  <c r="F411" i="3"/>
  <c r="E411" i="3"/>
  <c r="D411" i="3"/>
  <c r="C411" i="3"/>
  <c r="B411" i="3"/>
  <c r="F410" i="3"/>
  <c r="E410" i="3"/>
  <c r="D410" i="3"/>
  <c r="C410" i="3"/>
  <c r="B410" i="3"/>
  <c r="F409" i="3"/>
  <c r="E409" i="3"/>
  <c r="D409" i="3"/>
  <c r="C409" i="3"/>
  <c r="B409" i="3"/>
  <c r="F408" i="3"/>
  <c r="E408" i="3"/>
  <c r="D408" i="3"/>
  <c r="C408" i="3"/>
  <c r="B408" i="3"/>
  <c r="F407" i="3"/>
  <c r="E407" i="3"/>
  <c r="D407" i="3"/>
  <c r="C407" i="3"/>
  <c r="B407" i="3"/>
  <c r="F406" i="3"/>
  <c r="E406" i="3"/>
  <c r="D406" i="3"/>
  <c r="C406" i="3"/>
  <c r="B406" i="3"/>
  <c r="F405" i="3"/>
  <c r="E405" i="3"/>
  <c r="D405" i="3"/>
  <c r="C405" i="3"/>
  <c r="B405" i="3"/>
  <c r="F404" i="3"/>
  <c r="E404" i="3"/>
  <c r="D404" i="3"/>
  <c r="C404" i="3"/>
  <c r="B404" i="3"/>
  <c r="F403" i="3"/>
  <c r="E403" i="3"/>
  <c r="D403" i="3"/>
  <c r="C403" i="3"/>
  <c r="B403" i="3"/>
  <c r="F402" i="3"/>
  <c r="E402" i="3"/>
  <c r="D402" i="3"/>
  <c r="C402" i="3"/>
  <c r="B402" i="3"/>
  <c r="F401" i="3"/>
  <c r="E401" i="3"/>
  <c r="D401" i="3"/>
  <c r="C401" i="3"/>
  <c r="B401" i="3"/>
  <c r="F400" i="3"/>
  <c r="E400" i="3"/>
  <c r="D400" i="3"/>
  <c r="C400" i="3"/>
  <c r="B400" i="3"/>
  <c r="F399" i="3"/>
  <c r="E399" i="3"/>
  <c r="D399" i="3"/>
  <c r="C399" i="3"/>
  <c r="B399" i="3"/>
  <c r="F398" i="3"/>
  <c r="E398" i="3"/>
  <c r="D398" i="3"/>
  <c r="C398" i="3"/>
  <c r="B398" i="3"/>
  <c r="F397" i="3"/>
  <c r="E397" i="3"/>
  <c r="D397" i="3"/>
  <c r="C397" i="3"/>
  <c r="B397" i="3"/>
  <c r="F396" i="3"/>
  <c r="E396" i="3"/>
  <c r="D396" i="3"/>
  <c r="C396" i="3"/>
  <c r="B396" i="3"/>
  <c r="F395" i="3"/>
  <c r="E395" i="3"/>
  <c r="D395" i="3"/>
  <c r="C395" i="3"/>
  <c r="B395" i="3"/>
  <c r="F394" i="3"/>
  <c r="E394" i="3"/>
  <c r="D394" i="3"/>
  <c r="C394" i="3"/>
  <c r="B394" i="3"/>
  <c r="F393" i="3"/>
  <c r="E393" i="3"/>
  <c r="D393" i="3"/>
  <c r="C393" i="3"/>
  <c r="B393" i="3"/>
  <c r="F392" i="3"/>
  <c r="E392" i="3"/>
  <c r="D392" i="3"/>
  <c r="C392" i="3"/>
  <c r="B392" i="3"/>
  <c r="F391" i="3"/>
  <c r="E391" i="3"/>
  <c r="D391" i="3"/>
  <c r="C391" i="3"/>
  <c r="B391" i="3"/>
  <c r="F390" i="3"/>
  <c r="E390" i="3"/>
  <c r="D390" i="3"/>
  <c r="C390" i="3"/>
  <c r="B390" i="3"/>
  <c r="F389" i="3"/>
  <c r="E389" i="3"/>
  <c r="D389" i="3"/>
  <c r="C389" i="3"/>
  <c r="B389" i="3"/>
  <c r="F388" i="3"/>
  <c r="E388" i="3"/>
  <c r="D388" i="3"/>
  <c r="C388" i="3"/>
  <c r="B388" i="3"/>
  <c r="F387" i="3"/>
  <c r="E387" i="3"/>
  <c r="D387" i="3"/>
  <c r="C387" i="3"/>
  <c r="B387" i="3"/>
  <c r="F386" i="3"/>
  <c r="E386" i="3"/>
  <c r="D386" i="3"/>
  <c r="C386" i="3"/>
  <c r="B386" i="3"/>
  <c r="F385" i="3"/>
  <c r="E385" i="3"/>
  <c r="D385" i="3"/>
  <c r="C385" i="3"/>
  <c r="B385" i="3"/>
  <c r="F384" i="3"/>
  <c r="E384" i="3"/>
  <c r="D384" i="3"/>
  <c r="C384" i="3"/>
  <c r="B384" i="3"/>
  <c r="F383" i="3"/>
  <c r="E383" i="3"/>
  <c r="D383" i="3"/>
  <c r="C383" i="3"/>
  <c r="B383" i="3"/>
  <c r="F382" i="3"/>
  <c r="E382" i="3"/>
  <c r="D382" i="3"/>
  <c r="C382" i="3"/>
  <c r="B382" i="3"/>
  <c r="F381" i="3"/>
  <c r="E381" i="3"/>
  <c r="D381" i="3"/>
  <c r="C381" i="3"/>
  <c r="B381" i="3"/>
  <c r="F380" i="3"/>
  <c r="E380" i="3"/>
  <c r="D380" i="3"/>
  <c r="C380" i="3"/>
  <c r="B380" i="3"/>
  <c r="F379" i="3"/>
  <c r="E379" i="3"/>
  <c r="D379" i="3"/>
  <c r="C379" i="3"/>
  <c r="B379" i="3"/>
  <c r="F378" i="3"/>
  <c r="E378" i="3"/>
  <c r="D378" i="3"/>
  <c r="C378" i="3"/>
  <c r="B378" i="3"/>
  <c r="F377" i="3"/>
  <c r="E377" i="3"/>
  <c r="D377" i="3"/>
  <c r="C377" i="3"/>
  <c r="B377" i="3"/>
  <c r="F376" i="3"/>
  <c r="E376" i="3"/>
  <c r="D376" i="3"/>
  <c r="C376" i="3"/>
  <c r="B376" i="3"/>
  <c r="F375" i="3"/>
  <c r="E375" i="3"/>
  <c r="D375" i="3"/>
  <c r="C375" i="3"/>
  <c r="B375" i="3"/>
  <c r="F374" i="3"/>
  <c r="E374" i="3"/>
  <c r="D374" i="3"/>
  <c r="C374" i="3"/>
  <c r="B374" i="3"/>
  <c r="F373" i="3"/>
  <c r="E373" i="3"/>
  <c r="D373" i="3"/>
  <c r="C373" i="3"/>
  <c r="B373" i="3"/>
  <c r="F372" i="3"/>
  <c r="E372" i="3"/>
  <c r="D372" i="3"/>
  <c r="C372" i="3"/>
  <c r="B372" i="3"/>
  <c r="F371" i="3"/>
  <c r="E371" i="3"/>
  <c r="D371" i="3"/>
  <c r="C371" i="3"/>
  <c r="B371" i="3"/>
  <c r="F370" i="3"/>
  <c r="E370" i="3"/>
  <c r="D370" i="3"/>
  <c r="C370" i="3"/>
  <c r="B370" i="3"/>
  <c r="F369" i="3"/>
  <c r="E369" i="3"/>
  <c r="D369" i="3"/>
  <c r="C369" i="3"/>
  <c r="B369" i="3"/>
  <c r="F368" i="3"/>
  <c r="E368" i="3"/>
  <c r="D368" i="3"/>
  <c r="C368" i="3"/>
  <c r="B368" i="3"/>
  <c r="F367" i="3"/>
  <c r="E367" i="3"/>
  <c r="D367" i="3"/>
  <c r="C367" i="3"/>
  <c r="B367" i="3"/>
  <c r="F366" i="3"/>
  <c r="E366" i="3"/>
  <c r="D366" i="3"/>
  <c r="C366" i="3"/>
  <c r="B366" i="3"/>
  <c r="F365" i="3"/>
  <c r="E365" i="3"/>
  <c r="D365" i="3"/>
  <c r="C365" i="3"/>
  <c r="B365" i="3"/>
  <c r="F364" i="3"/>
  <c r="E364" i="3"/>
  <c r="D364" i="3"/>
  <c r="C364" i="3"/>
  <c r="B364" i="3"/>
  <c r="F363" i="3"/>
  <c r="E363" i="3"/>
  <c r="D363" i="3"/>
  <c r="C363" i="3"/>
  <c r="B363" i="3"/>
  <c r="F362" i="3"/>
  <c r="E362" i="3"/>
  <c r="D362" i="3"/>
  <c r="C362" i="3"/>
  <c r="B362" i="3"/>
  <c r="F361" i="3"/>
  <c r="E361" i="3"/>
  <c r="D361" i="3"/>
  <c r="C361" i="3"/>
  <c r="B361" i="3"/>
  <c r="F360" i="3"/>
  <c r="E360" i="3"/>
  <c r="D360" i="3"/>
  <c r="C360" i="3"/>
  <c r="B360" i="3"/>
  <c r="F359" i="3"/>
  <c r="E359" i="3"/>
  <c r="D359" i="3"/>
  <c r="C359" i="3"/>
  <c r="B359" i="3"/>
  <c r="F358" i="3"/>
  <c r="E358" i="3"/>
  <c r="D358" i="3"/>
  <c r="C358" i="3"/>
  <c r="B358" i="3"/>
  <c r="F357" i="3"/>
  <c r="E357" i="3"/>
  <c r="D357" i="3"/>
  <c r="C357" i="3"/>
  <c r="B357" i="3"/>
  <c r="F356" i="3"/>
  <c r="E356" i="3"/>
  <c r="D356" i="3"/>
  <c r="C356" i="3"/>
  <c r="B356" i="3"/>
  <c r="F355" i="3"/>
  <c r="E355" i="3"/>
  <c r="D355" i="3"/>
  <c r="C355" i="3"/>
  <c r="B355" i="3"/>
  <c r="F354" i="3"/>
  <c r="E354" i="3"/>
  <c r="D354" i="3"/>
  <c r="C354" i="3"/>
  <c r="B354" i="3"/>
  <c r="F353" i="3"/>
  <c r="E353" i="3"/>
  <c r="D353" i="3"/>
  <c r="C353" i="3"/>
  <c r="B353" i="3"/>
  <c r="F352" i="3"/>
  <c r="E352" i="3"/>
  <c r="D352" i="3"/>
  <c r="C352" i="3"/>
  <c r="B352" i="3"/>
  <c r="F351" i="3"/>
  <c r="E351" i="3"/>
  <c r="D351" i="3"/>
  <c r="C351" i="3"/>
  <c r="B351" i="3"/>
  <c r="F350" i="3"/>
  <c r="E350" i="3"/>
  <c r="D350" i="3"/>
  <c r="C350" i="3"/>
  <c r="B350" i="3"/>
  <c r="F349" i="3"/>
  <c r="E349" i="3"/>
  <c r="D349" i="3"/>
  <c r="C349" i="3"/>
  <c r="B349" i="3"/>
  <c r="F348" i="3"/>
  <c r="E348" i="3"/>
  <c r="D348" i="3"/>
  <c r="C348" i="3"/>
  <c r="B348" i="3"/>
  <c r="F347" i="3"/>
  <c r="E347" i="3"/>
  <c r="D347" i="3"/>
  <c r="C347" i="3"/>
  <c r="B347" i="3"/>
  <c r="F346" i="3"/>
  <c r="E346" i="3"/>
  <c r="D346" i="3"/>
  <c r="C346" i="3"/>
  <c r="B346" i="3"/>
  <c r="F345" i="3"/>
  <c r="E345" i="3"/>
  <c r="D345" i="3"/>
  <c r="C345" i="3"/>
  <c r="B345" i="3"/>
  <c r="F344" i="3"/>
  <c r="E344" i="3"/>
  <c r="D344" i="3"/>
  <c r="C344" i="3"/>
  <c r="B344" i="3"/>
  <c r="F343" i="3"/>
  <c r="E343" i="3"/>
  <c r="D343" i="3"/>
  <c r="C343" i="3"/>
  <c r="B343" i="3"/>
  <c r="F342" i="3"/>
  <c r="E342" i="3"/>
  <c r="D342" i="3"/>
  <c r="C342" i="3"/>
  <c r="B342" i="3"/>
  <c r="F341" i="3"/>
  <c r="E341" i="3"/>
  <c r="D341" i="3"/>
  <c r="C341" i="3"/>
  <c r="B341" i="3"/>
  <c r="F340" i="3"/>
  <c r="E340" i="3"/>
  <c r="D340" i="3"/>
  <c r="C340" i="3"/>
  <c r="B340" i="3"/>
  <c r="F339" i="3"/>
  <c r="E339" i="3"/>
  <c r="D339" i="3"/>
  <c r="C339" i="3"/>
  <c r="B339" i="3"/>
  <c r="F338" i="3"/>
  <c r="E338" i="3"/>
  <c r="D338" i="3"/>
  <c r="C338" i="3"/>
  <c r="B338" i="3"/>
  <c r="F337" i="3"/>
  <c r="E337" i="3"/>
  <c r="D337" i="3"/>
  <c r="C337" i="3"/>
  <c r="B337" i="3"/>
  <c r="F336" i="3"/>
  <c r="E336" i="3"/>
  <c r="D336" i="3"/>
  <c r="C336" i="3"/>
  <c r="B336" i="3"/>
  <c r="F335" i="3"/>
  <c r="E335" i="3"/>
  <c r="D335" i="3"/>
  <c r="C335" i="3"/>
  <c r="B335" i="3"/>
  <c r="F334" i="3"/>
  <c r="E334" i="3"/>
  <c r="D334" i="3"/>
  <c r="C334" i="3"/>
  <c r="B334" i="3"/>
  <c r="F333" i="3"/>
  <c r="E333" i="3"/>
  <c r="D333" i="3"/>
  <c r="C333" i="3"/>
  <c r="B333" i="3"/>
  <c r="F332" i="3"/>
  <c r="E332" i="3"/>
  <c r="D332" i="3"/>
  <c r="C332" i="3"/>
  <c r="B332" i="3"/>
  <c r="F331" i="3"/>
  <c r="E331" i="3"/>
  <c r="D331" i="3"/>
  <c r="C331" i="3"/>
  <c r="B331" i="3"/>
  <c r="F330" i="3"/>
  <c r="E330" i="3"/>
  <c r="D330" i="3"/>
  <c r="C330" i="3"/>
  <c r="B330" i="3"/>
  <c r="F329" i="3"/>
  <c r="E329" i="3"/>
  <c r="D329" i="3"/>
  <c r="C329" i="3"/>
  <c r="B329" i="3"/>
  <c r="F328" i="3"/>
  <c r="E328" i="3"/>
  <c r="D328" i="3"/>
  <c r="C328" i="3"/>
  <c r="B328" i="3"/>
  <c r="F327" i="3"/>
  <c r="E327" i="3"/>
  <c r="D327" i="3"/>
  <c r="C327" i="3"/>
  <c r="B327" i="3"/>
  <c r="F326" i="3"/>
  <c r="E326" i="3"/>
  <c r="D326" i="3"/>
  <c r="C326" i="3"/>
  <c r="B326" i="3"/>
  <c r="F325" i="3"/>
  <c r="E325" i="3"/>
  <c r="D325" i="3"/>
  <c r="C325" i="3"/>
  <c r="B325" i="3"/>
  <c r="F324" i="3"/>
  <c r="E324" i="3"/>
  <c r="D324" i="3"/>
  <c r="C324" i="3"/>
  <c r="B324" i="3"/>
  <c r="F323" i="3"/>
  <c r="E323" i="3"/>
  <c r="D323" i="3"/>
  <c r="C323" i="3"/>
  <c r="B323" i="3"/>
  <c r="F322" i="3"/>
  <c r="E322" i="3"/>
  <c r="D322" i="3"/>
  <c r="C322" i="3"/>
  <c r="B322" i="3"/>
  <c r="F321" i="3"/>
  <c r="E321" i="3"/>
  <c r="D321" i="3"/>
  <c r="C321" i="3"/>
  <c r="B321" i="3"/>
  <c r="F320" i="3"/>
  <c r="E320" i="3"/>
  <c r="D320" i="3"/>
  <c r="C320" i="3"/>
  <c r="B320" i="3"/>
  <c r="F319" i="3"/>
  <c r="E319" i="3"/>
  <c r="D319" i="3"/>
  <c r="C319" i="3"/>
  <c r="B319" i="3"/>
  <c r="F318" i="3"/>
  <c r="E318" i="3"/>
  <c r="D318" i="3"/>
  <c r="C318" i="3"/>
  <c r="B318" i="3"/>
  <c r="F317" i="3"/>
  <c r="E317" i="3"/>
  <c r="D317" i="3"/>
  <c r="C317" i="3"/>
  <c r="B317" i="3"/>
  <c r="F316" i="3"/>
  <c r="E316" i="3"/>
  <c r="D316" i="3"/>
  <c r="C316" i="3"/>
  <c r="B316" i="3"/>
  <c r="F315" i="3"/>
  <c r="E315" i="3"/>
  <c r="D315" i="3"/>
  <c r="C315" i="3"/>
  <c r="B315" i="3"/>
  <c r="F314" i="3"/>
  <c r="E314" i="3"/>
  <c r="D314" i="3"/>
  <c r="C314" i="3"/>
  <c r="B314" i="3"/>
  <c r="F313" i="3"/>
  <c r="E313" i="3"/>
  <c r="D313" i="3"/>
  <c r="C313" i="3"/>
  <c r="B313" i="3"/>
  <c r="F312" i="3"/>
  <c r="E312" i="3"/>
  <c r="D312" i="3"/>
  <c r="C312" i="3"/>
  <c r="B312" i="3"/>
  <c r="F311" i="3"/>
  <c r="E311" i="3"/>
  <c r="D311" i="3"/>
  <c r="C311" i="3"/>
  <c r="B311" i="3"/>
  <c r="F310" i="3"/>
  <c r="E310" i="3"/>
  <c r="D310" i="3"/>
  <c r="C310" i="3"/>
  <c r="B310" i="3"/>
  <c r="F309" i="3"/>
  <c r="E309" i="3"/>
  <c r="D309" i="3"/>
  <c r="C309" i="3"/>
  <c r="B309" i="3"/>
  <c r="F308" i="3"/>
  <c r="E308" i="3"/>
  <c r="D308" i="3"/>
  <c r="C308" i="3"/>
  <c r="B308" i="3"/>
  <c r="F307" i="3"/>
  <c r="E307" i="3"/>
  <c r="D307" i="3"/>
  <c r="C307" i="3"/>
  <c r="B307" i="3"/>
  <c r="F306" i="3"/>
  <c r="E306" i="3"/>
  <c r="D306" i="3"/>
  <c r="C306" i="3"/>
  <c r="B306" i="3"/>
  <c r="F305" i="3"/>
  <c r="E305" i="3"/>
  <c r="D305" i="3"/>
  <c r="C305" i="3"/>
  <c r="B305" i="3"/>
  <c r="F304" i="3"/>
  <c r="E304" i="3"/>
  <c r="D304" i="3"/>
  <c r="C304" i="3"/>
  <c r="B304" i="3"/>
  <c r="F303" i="3"/>
  <c r="E303" i="3"/>
  <c r="D303" i="3"/>
  <c r="C303" i="3"/>
  <c r="B303" i="3"/>
  <c r="F302" i="3"/>
  <c r="E302" i="3"/>
  <c r="D302" i="3"/>
  <c r="C302" i="3"/>
  <c r="B302" i="3"/>
  <c r="F301" i="3"/>
  <c r="E301" i="3"/>
  <c r="D301" i="3"/>
  <c r="C301" i="3"/>
  <c r="B301" i="3"/>
  <c r="F300" i="3"/>
  <c r="E300" i="3"/>
  <c r="D300" i="3"/>
  <c r="C300" i="3"/>
  <c r="B300" i="3"/>
  <c r="F299" i="3"/>
  <c r="E299" i="3"/>
  <c r="D299" i="3"/>
  <c r="C299" i="3"/>
  <c r="B299" i="3"/>
  <c r="F298" i="3"/>
  <c r="E298" i="3"/>
  <c r="D298" i="3"/>
  <c r="C298" i="3"/>
  <c r="B298" i="3"/>
  <c r="F297" i="3"/>
  <c r="E297" i="3"/>
  <c r="D297" i="3"/>
  <c r="C297" i="3"/>
  <c r="B297" i="3"/>
  <c r="F296" i="3"/>
  <c r="E296" i="3"/>
  <c r="D296" i="3"/>
  <c r="C296" i="3"/>
  <c r="B296" i="3"/>
  <c r="F295" i="3"/>
  <c r="E295" i="3"/>
  <c r="D295" i="3"/>
  <c r="C295" i="3"/>
  <c r="B295" i="3"/>
  <c r="F294" i="3"/>
  <c r="E294" i="3"/>
  <c r="D294" i="3"/>
  <c r="C294" i="3"/>
  <c r="B294" i="3"/>
  <c r="F293" i="3"/>
  <c r="E293" i="3"/>
  <c r="D293" i="3"/>
  <c r="C293" i="3"/>
  <c r="B293" i="3"/>
  <c r="F292" i="3"/>
  <c r="E292" i="3"/>
  <c r="D292" i="3"/>
  <c r="C292" i="3"/>
  <c r="B292" i="3"/>
  <c r="F291" i="3"/>
  <c r="E291" i="3"/>
  <c r="D291" i="3"/>
  <c r="C291" i="3"/>
  <c r="B291" i="3"/>
  <c r="F290" i="3"/>
  <c r="E290" i="3"/>
  <c r="D290" i="3"/>
  <c r="C290" i="3"/>
  <c r="B290" i="3"/>
  <c r="F289" i="3"/>
  <c r="E289" i="3"/>
  <c r="D289" i="3"/>
  <c r="C289" i="3"/>
  <c r="B289" i="3"/>
  <c r="F288" i="3"/>
  <c r="E288" i="3"/>
  <c r="D288" i="3"/>
  <c r="C288" i="3"/>
  <c r="B288" i="3"/>
  <c r="F287" i="3"/>
  <c r="E287" i="3"/>
  <c r="D287" i="3"/>
  <c r="C287" i="3"/>
  <c r="B287" i="3"/>
  <c r="F286" i="3"/>
  <c r="E286" i="3"/>
  <c r="D286" i="3"/>
  <c r="C286" i="3"/>
  <c r="B286" i="3"/>
  <c r="F285" i="3"/>
  <c r="E285" i="3"/>
  <c r="D285" i="3"/>
  <c r="C285" i="3"/>
  <c r="B285" i="3"/>
  <c r="F284" i="3"/>
  <c r="E284" i="3"/>
  <c r="D284" i="3"/>
  <c r="C284" i="3"/>
  <c r="B284" i="3"/>
  <c r="F283" i="3"/>
  <c r="E283" i="3"/>
  <c r="D283" i="3"/>
  <c r="C283" i="3"/>
  <c r="B283" i="3"/>
  <c r="F282" i="3"/>
  <c r="E282" i="3"/>
  <c r="D282" i="3"/>
  <c r="C282" i="3"/>
  <c r="B282" i="3"/>
  <c r="F281" i="3"/>
  <c r="E281" i="3"/>
  <c r="D281" i="3"/>
  <c r="C281" i="3"/>
  <c r="B281" i="3"/>
  <c r="F280" i="3"/>
  <c r="E280" i="3"/>
  <c r="D280" i="3"/>
  <c r="C280" i="3"/>
  <c r="B280" i="3"/>
  <c r="F279" i="3"/>
  <c r="E279" i="3"/>
  <c r="D279" i="3"/>
  <c r="C279" i="3"/>
  <c r="B279" i="3"/>
  <c r="F278" i="3"/>
  <c r="E278" i="3"/>
  <c r="D278" i="3"/>
  <c r="C278" i="3"/>
  <c r="B278" i="3"/>
  <c r="F277" i="3"/>
  <c r="E277" i="3"/>
  <c r="D277" i="3"/>
  <c r="C277" i="3"/>
  <c r="B277" i="3"/>
  <c r="F276" i="3"/>
  <c r="E276" i="3"/>
  <c r="D276" i="3"/>
  <c r="C276" i="3"/>
  <c r="B276" i="3"/>
  <c r="F275" i="3"/>
  <c r="E275" i="3"/>
  <c r="D275" i="3"/>
  <c r="C275" i="3"/>
  <c r="B275" i="3"/>
  <c r="F274" i="3"/>
  <c r="E274" i="3"/>
  <c r="D274" i="3"/>
  <c r="C274" i="3"/>
  <c r="B274" i="3"/>
  <c r="F273" i="3"/>
  <c r="E273" i="3"/>
  <c r="D273" i="3"/>
  <c r="C273" i="3"/>
  <c r="B273" i="3"/>
  <c r="F272" i="3"/>
  <c r="E272" i="3"/>
  <c r="D272" i="3"/>
  <c r="C272" i="3"/>
  <c r="B272" i="3"/>
  <c r="F271" i="3"/>
  <c r="E271" i="3"/>
  <c r="D271" i="3"/>
  <c r="C271" i="3"/>
  <c r="B271" i="3"/>
  <c r="F270" i="3"/>
  <c r="E270" i="3"/>
  <c r="D270" i="3"/>
  <c r="C270" i="3"/>
  <c r="B270" i="3"/>
  <c r="F269" i="3"/>
  <c r="E269" i="3"/>
  <c r="D269" i="3"/>
  <c r="C269" i="3"/>
  <c r="B269" i="3"/>
  <c r="F268" i="3"/>
  <c r="E268" i="3"/>
  <c r="D268" i="3"/>
  <c r="C268" i="3"/>
  <c r="B268" i="3"/>
  <c r="F267" i="3"/>
  <c r="E267" i="3"/>
  <c r="D267" i="3"/>
  <c r="C267" i="3"/>
  <c r="B267" i="3"/>
  <c r="F266" i="3"/>
  <c r="E266" i="3"/>
  <c r="D266" i="3"/>
  <c r="C266" i="3"/>
  <c r="B266" i="3"/>
  <c r="F265" i="3"/>
  <c r="E265" i="3"/>
  <c r="D265" i="3"/>
  <c r="C265" i="3"/>
  <c r="B265" i="3"/>
  <c r="F264" i="3"/>
  <c r="E264" i="3"/>
  <c r="D264" i="3"/>
  <c r="C264" i="3"/>
  <c r="B264" i="3"/>
  <c r="F263" i="3"/>
  <c r="E263" i="3"/>
  <c r="D263" i="3"/>
  <c r="C263" i="3"/>
  <c r="B263" i="3"/>
  <c r="F262" i="3"/>
  <c r="E262" i="3"/>
  <c r="D262" i="3"/>
  <c r="C262" i="3"/>
  <c r="B262" i="3"/>
  <c r="F261" i="3"/>
  <c r="E261" i="3"/>
  <c r="D261" i="3"/>
  <c r="C261" i="3"/>
  <c r="B261" i="3"/>
  <c r="F260" i="3"/>
  <c r="E260" i="3"/>
  <c r="D260" i="3"/>
  <c r="C260" i="3"/>
  <c r="B260" i="3"/>
  <c r="F259" i="3"/>
  <c r="E259" i="3"/>
  <c r="D259" i="3"/>
  <c r="C259" i="3"/>
  <c r="B259" i="3"/>
  <c r="F258" i="3"/>
  <c r="E258" i="3"/>
  <c r="D258" i="3"/>
  <c r="C258" i="3"/>
  <c r="B258" i="3"/>
  <c r="F257" i="3"/>
  <c r="E257" i="3"/>
  <c r="D257" i="3"/>
  <c r="C257" i="3"/>
  <c r="B257" i="3"/>
  <c r="F256" i="3"/>
  <c r="E256" i="3"/>
  <c r="D256" i="3"/>
  <c r="C256" i="3"/>
  <c r="B256" i="3"/>
  <c r="F255" i="3"/>
  <c r="E255" i="3"/>
  <c r="D255" i="3"/>
  <c r="C255" i="3"/>
  <c r="B255" i="3"/>
  <c r="F254" i="3"/>
  <c r="E254" i="3"/>
  <c r="D254" i="3"/>
  <c r="C254" i="3"/>
  <c r="B254" i="3"/>
  <c r="F253" i="3"/>
  <c r="E253" i="3"/>
  <c r="D253" i="3"/>
  <c r="C253" i="3"/>
  <c r="B253" i="3"/>
  <c r="F252" i="3"/>
  <c r="E252" i="3"/>
  <c r="D252" i="3"/>
  <c r="C252" i="3"/>
  <c r="B252" i="3"/>
  <c r="F251" i="3"/>
  <c r="E251" i="3"/>
  <c r="D251" i="3"/>
  <c r="C251" i="3"/>
  <c r="B251" i="3"/>
  <c r="F250" i="3"/>
  <c r="E250" i="3"/>
  <c r="D250" i="3"/>
  <c r="C250" i="3"/>
  <c r="B250" i="3"/>
  <c r="F249" i="3"/>
  <c r="E249" i="3"/>
  <c r="D249" i="3"/>
  <c r="C249" i="3"/>
  <c r="B249" i="3"/>
  <c r="F248" i="3"/>
  <c r="E248" i="3"/>
  <c r="D248" i="3"/>
  <c r="C248" i="3"/>
  <c r="B248" i="3"/>
  <c r="F247" i="3"/>
  <c r="E247" i="3"/>
  <c r="D247" i="3"/>
  <c r="C247" i="3"/>
  <c r="B247" i="3"/>
  <c r="F246" i="3"/>
  <c r="E246" i="3"/>
  <c r="D246" i="3"/>
  <c r="C246" i="3"/>
  <c r="B246" i="3"/>
  <c r="F245" i="3"/>
  <c r="E245" i="3"/>
  <c r="D245" i="3"/>
  <c r="C245" i="3"/>
  <c r="B245" i="3"/>
  <c r="F244" i="3"/>
  <c r="E244" i="3"/>
  <c r="D244" i="3"/>
  <c r="C244" i="3"/>
  <c r="B244" i="3"/>
  <c r="F243" i="3"/>
  <c r="E243" i="3"/>
  <c r="D243" i="3"/>
  <c r="C243" i="3"/>
  <c r="B243" i="3"/>
  <c r="F242" i="3"/>
  <c r="E242" i="3"/>
  <c r="D242" i="3"/>
  <c r="C242" i="3"/>
  <c r="B242" i="3"/>
  <c r="F241" i="3"/>
  <c r="E241" i="3"/>
  <c r="D241" i="3"/>
  <c r="C241" i="3"/>
  <c r="B241" i="3"/>
  <c r="F240" i="3"/>
  <c r="E240" i="3"/>
  <c r="D240" i="3"/>
  <c r="C240" i="3"/>
  <c r="B240" i="3"/>
  <c r="F239" i="3"/>
  <c r="E239" i="3"/>
  <c r="D239" i="3"/>
  <c r="C239" i="3"/>
  <c r="B239" i="3"/>
  <c r="F238" i="3"/>
  <c r="E238" i="3"/>
  <c r="D238" i="3"/>
  <c r="C238" i="3"/>
  <c r="B238" i="3"/>
  <c r="F237" i="3"/>
  <c r="E237" i="3"/>
  <c r="D237" i="3"/>
  <c r="C237" i="3"/>
  <c r="B237" i="3"/>
  <c r="F236" i="3"/>
  <c r="E236" i="3"/>
  <c r="D236" i="3"/>
  <c r="C236" i="3"/>
  <c r="B236" i="3"/>
  <c r="F235" i="3"/>
  <c r="E235" i="3"/>
  <c r="D235" i="3"/>
  <c r="C235" i="3"/>
  <c r="B235" i="3"/>
  <c r="F234" i="3"/>
  <c r="E234" i="3"/>
  <c r="D234" i="3"/>
  <c r="C234" i="3"/>
  <c r="B234" i="3"/>
  <c r="F233" i="3"/>
  <c r="E233" i="3"/>
  <c r="D233" i="3"/>
  <c r="C233" i="3"/>
  <c r="B233" i="3"/>
  <c r="F232" i="3"/>
  <c r="E232" i="3"/>
  <c r="D232" i="3"/>
  <c r="C232" i="3"/>
  <c r="B232" i="3"/>
  <c r="F231" i="3"/>
  <c r="E231" i="3"/>
  <c r="D231" i="3"/>
  <c r="C231" i="3"/>
  <c r="B231" i="3"/>
  <c r="F230" i="3"/>
  <c r="E230" i="3"/>
  <c r="D230" i="3"/>
  <c r="C230" i="3"/>
  <c r="B230" i="3"/>
  <c r="F229" i="3"/>
  <c r="E229" i="3"/>
  <c r="D229" i="3"/>
  <c r="C229" i="3"/>
  <c r="B229" i="3"/>
  <c r="F228" i="3"/>
  <c r="E228" i="3"/>
  <c r="D228" i="3"/>
  <c r="C228" i="3"/>
  <c r="B228" i="3"/>
  <c r="F227" i="3"/>
  <c r="E227" i="3"/>
  <c r="D227" i="3"/>
  <c r="C227" i="3"/>
  <c r="B227" i="3"/>
  <c r="F226" i="3"/>
  <c r="E226" i="3"/>
  <c r="D226" i="3"/>
  <c r="C226" i="3"/>
  <c r="B226" i="3"/>
  <c r="F225" i="3"/>
  <c r="E225" i="3"/>
  <c r="D225" i="3"/>
  <c r="C225" i="3"/>
  <c r="B225" i="3"/>
  <c r="F224" i="3"/>
  <c r="E224" i="3"/>
  <c r="D224" i="3"/>
  <c r="C224" i="3"/>
  <c r="B224" i="3"/>
  <c r="F223" i="3"/>
  <c r="E223" i="3"/>
  <c r="D223" i="3"/>
  <c r="C223" i="3"/>
  <c r="B223" i="3"/>
  <c r="F222" i="3"/>
  <c r="E222" i="3"/>
  <c r="D222" i="3"/>
  <c r="C222" i="3"/>
  <c r="B222" i="3"/>
  <c r="F221" i="3"/>
  <c r="E221" i="3"/>
  <c r="D221" i="3"/>
  <c r="C221" i="3"/>
  <c r="B221" i="3"/>
  <c r="F220" i="3"/>
  <c r="E220" i="3"/>
  <c r="D220" i="3"/>
  <c r="C220" i="3"/>
  <c r="B220" i="3"/>
  <c r="F219" i="3"/>
  <c r="E219" i="3"/>
  <c r="D219" i="3"/>
  <c r="C219" i="3"/>
  <c r="B219" i="3"/>
  <c r="F218" i="3"/>
  <c r="E218" i="3"/>
  <c r="D218" i="3"/>
  <c r="C218" i="3"/>
  <c r="B218" i="3"/>
  <c r="F217" i="3"/>
  <c r="E217" i="3"/>
  <c r="D217" i="3"/>
  <c r="C217" i="3"/>
  <c r="B217" i="3"/>
  <c r="F216" i="3"/>
  <c r="E216" i="3"/>
  <c r="D216" i="3"/>
  <c r="C216" i="3"/>
  <c r="B216" i="3"/>
  <c r="F215" i="3"/>
  <c r="E215" i="3"/>
  <c r="D215" i="3"/>
  <c r="C215" i="3"/>
  <c r="B215" i="3"/>
  <c r="F214" i="3"/>
  <c r="E214" i="3"/>
  <c r="D214" i="3"/>
  <c r="C214" i="3"/>
  <c r="B214" i="3"/>
  <c r="F213" i="3"/>
  <c r="E213" i="3"/>
  <c r="D213" i="3"/>
  <c r="C213" i="3"/>
  <c r="B213" i="3"/>
  <c r="F212" i="3"/>
  <c r="E212" i="3"/>
  <c r="D212" i="3"/>
  <c r="C212" i="3"/>
  <c r="B212" i="3"/>
  <c r="F211" i="3"/>
  <c r="E211" i="3"/>
  <c r="D211" i="3"/>
  <c r="C211" i="3"/>
  <c r="B211" i="3"/>
  <c r="F210" i="3"/>
  <c r="E210" i="3"/>
  <c r="D210" i="3"/>
  <c r="C210" i="3"/>
  <c r="B210" i="3"/>
  <c r="F209" i="3"/>
  <c r="E209" i="3"/>
  <c r="D209" i="3"/>
  <c r="C209" i="3"/>
  <c r="B209" i="3"/>
  <c r="F208" i="3"/>
  <c r="E208" i="3"/>
  <c r="D208" i="3"/>
  <c r="C208" i="3"/>
  <c r="B208" i="3"/>
  <c r="F207" i="3"/>
  <c r="E207" i="3"/>
  <c r="D207" i="3"/>
  <c r="C207" i="3"/>
  <c r="B207" i="3"/>
  <c r="F206" i="3"/>
  <c r="E206" i="3"/>
  <c r="D206" i="3"/>
  <c r="C206" i="3"/>
  <c r="B206" i="3"/>
  <c r="F205" i="3"/>
  <c r="E205" i="3"/>
  <c r="D205" i="3"/>
  <c r="C205" i="3"/>
  <c r="B205" i="3"/>
  <c r="F204" i="3"/>
  <c r="E204" i="3"/>
  <c r="D204" i="3"/>
  <c r="C204" i="3"/>
  <c r="B204" i="3"/>
  <c r="F203" i="3"/>
  <c r="E203" i="3"/>
  <c r="D203" i="3"/>
  <c r="C203" i="3"/>
  <c r="B203" i="3"/>
  <c r="F202" i="3"/>
  <c r="E202" i="3"/>
  <c r="D202" i="3"/>
  <c r="C202" i="3"/>
  <c r="B202" i="3"/>
  <c r="F201" i="3"/>
  <c r="E201" i="3"/>
  <c r="D201" i="3"/>
  <c r="C201" i="3"/>
  <c r="B201" i="3"/>
  <c r="F200" i="3"/>
  <c r="E200" i="3"/>
  <c r="D200" i="3"/>
  <c r="C200" i="3"/>
  <c r="B200" i="3"/>
  <c r="F199" i="3"/>
  <c r="E199" i="3"/>
  <c r="D199" i="3"/>
  <c r="C199" i="3"/>
  <c r="B199" i="3"/>
  <c r="F198" i="3"/>
  <c r="E198" i="3"/>
  <c r="D198" i="3"/>
  <c r="C198" i="3"/>
  <c r="B198" i="3"/>
  <c r="F197" i="3"/>
  <c r="E197" i="3"/>
  <c r="D197" i="3"/>
  <c r="C197" i="3"/>
  <c r="B197" i="3"/>
  <c r="F196" i="3"/>
  <c r="E196" i="3"/>
  <c r="D196" i="3"/>
  <c r="C196" i="3"/>
  <c r="B196" i="3"/>
  <c r="F195" i="3"/>
  <c r="E195" i="3"/>
  <c r="D195" i="3"/>
  <c r="C195" i="3"/>
  <c r="B195" i="3"/>
  <c r="F194" i="3"/>
  <c r="E194" i="3"/>
  <c r="D194" i="3"/>
  <c r="C194" i="3"/>
  <c r="B194" i="3"/>
  <c r="F193" i="3"/>
  <c r="E193" i="3"/>
  <c r="D193" i="3"/>
  <c r="C193" i="3"/>
  <c r="B193" i="3"/>
  <c r="F192" i="3"/>
  <c r="E192" i="3"/>
  <c r="D192" i="3"/>
  <c r="C192" i="3"/>
  <c r="B192" i="3"/>
  <c r="F191" i="3"/>
  <c r="E191" i="3"/>
  <c r="D191" i="3"/>
  <c r="C191" i="3"/>
  <c r="B191" i="3"/>
  <c r="F190" i="3"/>
  <c r="E190" i="3"/>
  <c r="D190" i="3"/>
  <c r="C190" i="3"/>
  <c r="B190" i="3"/>
  <c r="F189" i="3"/>
  <c r="E189" i="3"/>
  <c r="D189" i="3"/>
  <c r="C189" i="3"/>
  <c r="B189" i="3"/>
  <c r="F188" i="3"/>
  <c r="E188" i="3"/>
  <c r="D188" i="3"/>
  <c r="C188" i="3"/>
  <c r="B188" i="3"/>
  <c r="F187" i="3"/>
  <c r="E187" i="3"/>
  <c r="D187" i="3"/>
  <c r="C187" i="3"/>
  <c r="B187" i="3"/>
  <c r="F186" i="3"/>
  <c r="E186" i="3"/>
  <c r="D186" i="3"/>
  <c r="C186" i="3"/>
  <c r="B186" i="3"/>
  <c r="F185" i="3"/>
  <c r="E185" i="3"/>
  <c r="D185" i="3"/>
  <c r="C185" i="3"/>
  <c r="B185" i="3"/>
  <c r="F184" i="3"/>
  <c r="E184" i="3"/>
  <c r="D184" i="3"/>
  <c r="C184" i="3"/>
  <c r="B184" i="3"/>
  <c r="F183" i="3"/>
  <c r="E183" i="3"/>
  <c r="D183" i="3"/>
  <c r="C183" i="3"/>
  <c r="B183" i="3"/>
  <c r="F182" i="3"/>
  <c r="E182" i="3"/>
  <c r="D182" i="3"/>
  <c r="C182" i="3"/>
  <c r="B182" i="3"/>
  <c r="F181" i="3"/>
  <c r="E181" i="3"/>
  <c r="D181" i="3"/>
  <c r="C181" i="3"/>
  <c r="B181" i="3"/>
  <c r="F180" i="3"/>
  <c r="E180" i="3"/>
  <c r="D180" i="3"/>
  <c r="C180" i="3"/>
  <c r="B180" i="3"/>
  <c r="F179" i="3"/>
  <c r="E179" i="3"/>
  <c r="D179" i="3"/>
  <c r="C179" i="3"/>
  <c r="B179" i="3"/>
  <c r="F178" i="3"/>
  <c r="E178" i="3"/>
  <c r="D178" i="3"/>
  <c r="C178" i="3"/>
  <c r="B178" i="3"/>
  <c r="F177" i="3"/>
  <c r="E177" i="3"/>
  <c r="D177" i="3"/>
  <c r="C177" i="3"/>
  <c r="B177" i="3"/>
  <c r="F176" i="3"/>
  <c r="E176" i="3"/>
  <c r="D176" i="3"/>
  <c r="C176" i="3"/>
  <c r="B176" i="3"/>
  <c r="F175" i="3"/>
  <c r="E175" i="3"/>
  <c r="D175" i="3"/>
  <c r="C175" i="3"/>
  <c r="B175" i="3"/>
  <c r="F174" i="3"/>
  <c r="E174" i="3"/>
  <c r="D174" i="3"/>
  <c r="C174" i="3"/>
  <c r="B174" i="3"/>
  <c r="F173" i="3"/>
  <c r="E173" i="3"/>
  <c r="D173" i="3"/>
  <c r="C173" i="3"/>
  <c r="B173" i="3"/>
  <c r="F172" i="3"/>
  <c r="E172" i="3"/>
  <c r="D172" i="3"/>
  <c r="C172" i="3"/>
  <c r="B172" i="3"/>
  <c r="F171" i="3"/>
  <c r="E171" i="3"/>
  <c r="D171" i="3"/>
  <c r="C171" i="3"/>
  <c r="B171" i="3"/>
  <c r="F170" i="3"/>
  <c r="E170" i="3"/>
  <c r="D170" i="3"/>
  <c r="C170" i="3"/>
  <c r="B170" i="3"/>
  <c r="F169" i="3"/>
  <c r="E169" i="3"/>
  <c r="D169" i="3"/>
  <c r="C169" i="3"/>
  <c r="B169" i="3"/>
  <c r="F168" i="3"/>
  <c r="E168" i="3"/>
  <c r="D168" i="3"/>
  <c r="C168" i="3"/>
  <c r="B168" i="3"/>
  <c r="F167" i="3"/>
  <c r="E167" i="3"/>
  <c r="D167" i="3"/>
  <c r="C167" i="3"/>
  <c r="B167" i="3"/>
  <c r="F166" i="3"/>
  <c r="E166" i="3"/>
  <c r="D166" i="3"/>
  <c r="C166" i="3"/>
  <c r="B166" i="3"/>
  <c r="F165" i="3"/>
  <c r="E165" i="3"/>
  <c r="D165" i="3"/>
  <c r="C165" i="3"/>
  <c r="B165" i="3"/>
  <c r="F164" i="3"/>
  <c r="E164" i="3"/>
  <c r="D164" i="3"/>
  <c r="C164" i="3"/>
  <c r="B164" i="3"/>
  <c r="F163" i="3"/>
  <c r="E163" i="3"/>
  <c r="D163" i="3"/>
  <c r="C163" i="3"/>
  <c r="B163" i="3"/>
  <c r="F162" i="3"/>
  <c r="E162" i="3"/>
  <c r="D162" i="3"/>
  <c r="C162" i="3"/>
  <c r="B162" i="3"/>
  <c r="F161" i="3"/>
  <c r="E161" i="3"/>
  <c r="D161" i="3"/>
  <c r="C161" i="3"/>
  <c r="B161" i="3"/>
  <c r="F160" i="3"/>
  <c r="E160" i="3"/>
  <c r="D160" i="3"/>
  <c r="C160" i="3"/>
  <c r="B160" i="3"/>
  <c r="F159" i="3"/>
  <c r="E159" i="3"/>
  <c r="D159" i="3"/>
  <c r="C159" i="3"/>
  <c r="B159" i="3"/>
  <c r="F158" i="3"/>
  <c r="E158" i="3"/>
  <c r="D158" i="3"/>
  <c r="C158" i="3"/>
  <c r="B158" i="3"/>
  <c r="F157" i="3"/>
  <c r="E157" i="3"/>
  <c r="D157" i="3"/>
  <c r="C157" i="3"/>
  <c r="B157" i="3"/>
  <c r="F156" i="3"/>
  <c r="E156" i="3"/>
  <c r="D156" i="3"/>
  <c r="C156" i="3"/>
  <c r="B156" i="3"/>
  <c r="F155" i="3"/>
  <c r="E155" i="3"/>
  <c r="D155" i="3"/>
  <c r="C155" i="3"/>
  <c r="B155" i="3"/>
  <c r="F154" i="3"/>
  <c r="E154" i="3"/>
  <c r="D154" i="3"/>
  <c r="C154" i="3"/>
  <c r="B154" i="3"/>
  <c r="F153" i="3"/>
  <c r="E153" i="3"/>
  <c r="D153" i="3"/>
  <c r="C153" i="3"/>
  <c r="B153" i="3"/>
  <c r="F152" i="3"/>
  <c r="E152" i="3"/>
  <c r="D152" i="3"/>
  <c r="C152" i="3"/>
  <c r="B152" i="3"/>
  <c r="F151" i="3"/>
  <c r="E151" i="3"/>
  <c r="D151" i="3"/>
  <c r="C151" i="3"/>
  <c r="B151" i="3"/>
  <c r="F150" i="3"/>
  <c r="E150" i="3"/>
  <c r="D150" i="3"/>
  <c r="C150" i="3"/>
  <c r="B150" i="3"/>
  <c r="F149" i="3"/>
  <c r="E149" i="3"/>
  <c r="D149" i="3"/>
  <c r="C149" i="3"/>
  <c r="B149" i="3"/>
  <c r="F148" i="3"/>
  <c r="E148" i="3"/>
  <c r="D148" i="3"/>
  <c r="C148" i="3"/>
  <c r="B148" i="3"/>
  <c r="F147" i="3"/>
  <c r="E147" i="3"/>
  <c r="D147" i="3"/>
  <c r="C147" i="3"/>
  <c r="B147" i="3"/>
  <c r="F146" i="3"/>
  <c r="E146" i="3"/>
  <c r="D146" i="3"/>
  <c r="C146" i="3"/>
  <c r="B146" i="3"/>
  <c r="F145" i="3"/>
  <c r="E145" i="3"/>
  <c r="D145" i="3"/>
  <c r="C145" i="3"/>
  <c r="B145" i="3"/>
  <c r="F144" i="3"/>
  <c r="E144" i="3"/>
  <c r="D144" i="3"/>
  <c r="C144" i="3"/>
  <c r="B144" i="3"/>
  <c r="F143" i="3"/>
  <c r="E143" i="3"/>
  <c r="D143" i="3"/>
  <c r="C143" i="3"/>
  <c r="B143" i="3"/>
  <c r="F142" i="3"/>
  <c r="E142" i="3"/>
  <c r="D142" i="3"/>
  <c r="C142" i="3"/>
  <c r="B142" i="3"/>
  <c r="F141" i="3"/>
  <c r="E141" i="3"/>
  <c r="D141" i="3"/>
  <c r="C141" i="3"/>
  <c r="B141" i="3"/>
  <c r="F140" i="3"/>
  <c r="E140" i="3"/>
  <c r="D140" i="3"/>
  <c r="C140" i="3"/>
  <c r="B140" i="3"/>
  <c r="F139" i="3"/>
  <c r="E139" i="3"/>
  <c r="D139" i="3"/>
  <c r="C139" i="3"/>
  <c r="B139" i="3"/>
  <c r="F138" i="3"/>
  <c r="E138" i="3"/>
  <c r="D138" i="3"/>
  <c r="C138" i="3"/>
  <c r="B138" i="3"/>
  <c r="F137" i="3"/>
  <c r="E137" i="3"/>
  <c r="D137" i="3"/>
  <c r="C137" i="3"/>
  <c r="B137" i="3"/>
  <c r="F136" i="3"/>
  <c r="E136" i="3"/>
  <c r="D136" i="3"/>
  <c r="C136" i="3"/>
  <c r="B136" i="3"/>
  <c r="F135" i="3"/>
  <c r="E135" i="3"/>
  <c r="D135" i="3"/>
  <c r="C135" i="3"/>
  <c r="B135" i="3"/>
  <c r="F134" i="3"/>
  <c r="E134" i="3"/>
  <c r="D134" i="3"/>
  <c r="C134" i="3"/>
  <c r="B134" i="3"/>
  <c r="F133" i="3"/>
  <c r="E133" i="3"/>
  <c r="D133" i="3"/>
  <c r="C133" i="3"/>
  <c r="B133" i="3"/>
  <c r="F132" i="3"/>
  <c r="E132" i="3"/>
  <c r="D132" i="3"/>
  <c r="C132" i="3"/>
  <c r="B132" i="3"/>
  <c r="F131" i="3"/>
  <c r="E131" i="3"/>
  <c r="D131" i="3"/>
  <c r="C131" i="3"/>
  <c r="B131" i="3"/>
  <c r="F130" i="3"/>
  <c r="E130" i="3"/>
  <c r="D130" i="3"/>
  <c r="C130" i="3"/>
  <c r="B130" i="3"/>
  <c r="F129" i="3"/>
  <c r="E129" i="3"/>
  <c r="D129" i="3"/>
  <c r="C129" i="3"/>
  <c r="B129" i="3"/>
  <c r="F128" i="3"/>
  <c r="E128" i="3"/>
  <c r="D128" i="3"/>
  <c r="C128" i="3"/>
  <c r="B128" i="3"/>
  <c r="F127" i="3"/>
  <c r="E127" i="3"/>
  <c r="D127" i="3"/>
  <c r="C127" i="3"/>
  <c r="B127" i="3"/>
  <c r="F126" i="3"/>
  <c r="E126" i="3"/>
  <c r="D126" i="3"/>
  <c r="C126" i="3"/>
  <c r="B126" i="3"/>
  <c r="F125" i="3"/>
  <c r="E125" i="3"/>
  <c r="D125" i="3"/>
  <c r="C125" i="3"/>
  <c r="B125" i="3"/>
  <c r="F124" i="3"/>
  <c r="E124" i="3"/>
  <c r="D124" i="3"/>
  <c r="C124" i="3"/>
  <c r="B124" i="3"/>
  <c r="F123" i="3"/>
  <c r="E123" i="3"/>
  <c r="D123" i="3"/>
  <c r="C123" i="3"/>
  <c r="B123" i="3"/>
  <c r="F122" i="3"/>
  <c r="E122" i="3"/>
  <c r="D122" i="3"/>
  <c r="C122" i="3"/>
  <c r="B122" i="3"/>
  <c r="F121" i="3"/>
  <c r="E121" i="3"/>
  <c r="D121" i="3"/>
  <c r="C121" i="3"/>
  <c r="B121" i="3"/>
  <c r="F120" i="3"/>
  <c r="E120" i="3"/>
  <c r="D120" i="3"/>
  <c r="C120" i="3"/>
  <c r="B120" i="3"/>
  <c r="F119" i="3"/>
  <c r="E119" i="3"/>
  <c r="D119" i="3"/>
  <c r="C119" i="3"/>
  <c r="B119" i="3"/>
  <c r="F118" i="3"/>
  <c r="E118" i="3"/>
  <c r="D118" i="3"/>
  <c r="C118" i="3"/>
  <c r="B118" i="3"/>
  <c r="F117" i="3"/>
  <c r="E117" i="3"/>
  <c r="D117" i="3"/>
  <c r="C117" i="3"/>
  <c r="B117" i="3"/>
  <c r="F116" i="3"/>
  <c r="E116" i="3"/>
  <c r="D116" i="3"/>
  <c r="C116" i="3"/>
  <c r="B116" i="3"/>
  <c r="F115" i="3"/>
  <c r="E115" i="3"/>
  <c r="D115" i="3"/>
  <c r="C115" i="3"/>
  <c r="B115" i="3"/>
  <c r="F114" i="3"/>
  <c r="E114" i="3"/>
  <c r="D114" i="3"/>
  <c r="C114" i="3"/>
  <c r="B114" i="3"/>
  <c r="F113" i="3"/>
  <c r="E113" i="3"/>
  <c r="D113" i="3"/>
  <c r="C113" i="3"/>
  <c r="B113" i="3"/>
  <c r="F112" i="3"/>
  <c r="E112" i="3"/>
  <c r="D112" i="3"/>
  <c r="C112" i="3"/>
  <c r="B112" i="3"/>
  <c r="F111" i="3"/>
  <c r="E111" i="3"/>
  <c r="D111" i="3"/>
  <c r="C111" i="3"/>
  <c r="B111" i="3"/>
  <c r="F110" i="3"/>
  <c r="E110" i="3"/>
  <c r="D110" i="3"/>
  <c r="C110" i="3"/>
  <c r="B110" i="3"/>
  <c r="F109" i="3"/>
  <c r="E109" i="3"/>
  <c r="D109" i="3"/>
  <c r="C109" i="3"/>
  <c r="B109" i="3"/>
  <c r="F108" i="3"/>
  <c r="E108" i="3"/>
  <c r="D108" i="3"/>
  <c r="C108" i="3"/>
  <c r="B108" i="3"/>
  <c r="F107" i="3"/>
  <c r="E107" i="3"/>
  <c r="D107" i="3"/>
  <c r="C107" i="3"/>
  <c r="B107" i="3"/>
  <c r="F106" i="3"/>
  <c r="E106" i="3"/>
  <c r="D106" i="3"/>
  <c r="C106" i="3"/>
  <c r="B106" i="3"/>
  <c r="F105" i="3"/>
  <c r="E105" i="3"/>
  <c r="D105" i="3"/>
  <c r="C105" i="3"/>
  <c r="B105" i="3"/>
  <c r="F104" i="3"/>
  <c r="E104" i="3"/>
  <c r="D104" i="3"/>
  <c r="C104" i="3"/>
  <c r="B104" i="3"/>
  <c r="F103" i="3"/>
  <c r="E103" i="3"/>
  <c r="D103" i="3"/>
  <c r="C103" i="3"/>
  <c r="B103" i="3"/>
  <c r="F102" i="3"/>
  <c r="E102" i="3"/>
  <c r="D102" i="3"/>
  <c r="C102" i="3"/>
  <c r="B102" i="3"/>
  <c r="F101" i="3"/>
  <c r="E101" i="3"/>
  <c r="D101" i="3"/>
  <c r="C101" i="3"/>
  <c r="B101" i="3"/>
  <c r="F100" i="3"/>
  <c r="E100" i="3"/>
  <c r="D100" i="3"/>
  <c r="C100" i="3"/>
  <c r="B100" i="3"/>
  <c r="F99" i="3"/>
  <c r="E99" i="3"/>
  <c r="D99" i="3"/>
  <c r="C99" i="3"/>
  <c r="B99" i="3"/>
  <c r="F98" i="3"/>
  <c r="E98" i="3"/>
  <c r="D98" i="3"/>
  <c r="C98" i="3"/>
  <c r="B98" i="3"/>
  <c r="F97" i="3"/>
  <c r="E97" i="3"/>
  <c r="D97" i="3"/>
  <c r="C97" i="3"/>
  <c r="B97" i="3"/>
  <c r="F96" i="3"/>
  <c r="E96" i="3"/>
  <c r="D96" i="3"/>
  <c r="C96" i="3"/>
  <c r="B96" i="3"/>
  <c r="F95" i="3"/>
  <c r="E95" i="3"/>
  <c r="D95" i="3"/>
  <c r="C95" i="3"/>
  <c r="B95" i="3"/>
  <c r="F94" i="3"/>
  <c r="E94" i="3"/>
  <c r="D94" i="3"/>
  <c r="C94" i="3"/>
  <c r="B94" i="3"/>
  <c r="F93" i="3"/>
  <c r="E93" i="3"/>
  <c r="D93" i="3"/>
  <c r="C93" i="3"/>
  <c r="B93" i="3"/>
  <c r="F92" i="3"/>
  <c r="E92" i="3"/>
  <c r="D92" i="3"/>
  <c r="C92" i="3"/>
  <c r="B92" i="3"/>
  <c r="F91" i="3"/>
  <c r="E91" i="3"/>
  <c r="D91" i="3"/>
  <c r="C91" i="3"/>
  <c r="B91" i="3"/>
  <c r="F90" i="3"/>
  <c r="E90" i="3"/>
  <c r="D90" i="3"/>
  <c r="C90" i="3"/>
  <c r="B90" i="3"/>
  <c r="F89" i="3"/>
  <c r="E89" i="3"/>
  <c r="D89" i="3"/>
  <c r="C89" i="3"/>
  <c r="B89" i="3"/>
  <c r="F88" i="3"/>
  <c r="E88" i="3"/>
  <c r="D88" i="3"/>
  <c r="C88" i="3"/>
  <c r="B88" i="3"/>
  <c r="F87" i="3"/>
  <c r="E87" i="3"/>
  <c r="D87" i="3"/>
  <c r="C87" i="3"/>
  <c r="B87" i="3"/>
  <c r="F86" i="3"/>
  <c r="E86" i="3"/>
  <c r="D86" i="3"/>
  <c r="C86" i="3"/>
  <c r="B86" i="3"/>
  <c r="F85" i="3"/>
  <c r="E85" i="3"/>
  <c r="D85" i="3"/>
  <c r="C85" i="3"/>
  <c r="B85" i="3"/>
  <c r="F84" i="3"/>
  <c r="E84" i="3"/>
  <c r="D84" i="3"/>
  <c r="C84" i="3"/>
  <c r="B84" i="3"/>
  <c r="F83" i="3"/>
  <c r="E83" i="3"/>
  <c r="D83" i="3"/>
  <c r="C83" i="3"/>
  <c r="B83" i="3"/>
  <c r="F82" i="3"/>
  <c r="E82" i="3"/>
  <c r="D82" i="3"/>
  <c r="C82" i="3"/>
  <c r="B82" i="3"/>
  <c r="F81" i="3"/>
  <c r="E81" i="3"/>
  <c r="D81" i="3"/>
  <c r="C81" i="3"/>
  <c r="B81" i="3"/>
  <c r="F80" i="3"/>
  <c r="E80" i="3"/>
  <c r="D80" i="3"/>
  <c r="C80" i="3"/>
  <c r="B80" i="3"/>
  <c r="F79" i="3"/>
  <c r="E79" i="3"/>
  <c r="D79" i="3"/>
  <c r="C79" i="3"/>
  <c r="B79" i="3"/>
  <c r="F78" i="3"/>
  <c r="E78" i="3"/>
  <c r="D78" i="3"/>
  <c r="C78" i="3"/>
  <c r="B78" i="3"/>
  <c r="F77" i="3"/>
  <c r="E77" i="3"/>
  <c r="D77" i="3"/>
  <c r="C77" i="3"/>
  <c r="B77" i="3"/>
  <c r="F76" i="3"/>
  <c r="E76" i="3"/>
  <c r="D76" i="3"/>
  <c r="C76" i="3"/>
  <c r="B76" i="3"/>
  <c r="F75" i="3"/>
  <c r="E75" i="3"/>
  <c r="D75" i="3"/>
  <c r="C75" i="3"/>
  <c r="B75" i="3"/>
  <c r="F74" i="3"/>
  <c r="E74" i="3"/>
  <c r="D74" i="3"/>
  <c r="C74" i="3"/>
  <c r="B74" i="3"/>
  <c r="F73" i="3"/>
  <c r="E73" i="3"/>
  <c r="D73" i="3"/>
  <c r="C73" i="3"/>
  <c r="B73" i="3"/>
  <c r="F72" i="3"/>
  <c r="E72" i="3"/>
  <c r="D72" i="3"/>
  <c r="C72" i="3"/>
  <c r="B72" i="3"/>
  <c r="F71" i="3"/>
  <c r="E71" i="3"/>
  <c r="D71" i="3"/>
  <c r="C71" i="3"/>
  <c r="B71" i="3"/>
  <c r="F70" i="3"/>
  <c r="E70" i="3"/>
  <c r="D70" i="3"/>
  <c r="C70" i="3"/>
  <c r="B70" i="3"/>
  <c r="F69" i="3"/>
  <c r="E69" i="3"/>
  <c r="D69" i="3"/>
  <c r="C69" i="3"/>
  <c r="B69" i="3"/>
  <c r="F68" i="3"/>
  <c r="E68" i="3"/>
  <c r="D68" i="3"/>
  <c r="C68" i="3"/>
  <c r="B68" i="3"/>
  <c r="F67" i="3"/>
  <c r="E67" i="3"/>
  <c r="D67" i="3"/>
  <c r="C67" i="3"/>
  <c r="B67" i="3"/>
  <c r="F66" i="3"/>
  <c r="E66" i="3"/>
  <c r="D66" i="3"/>
  <c r="C66" i="3"/>
  <c r="B66" i="3"/>
  <c r="F65" i="3"/>
  <c r="E65" i="3"/>
  <c r="D65" i="3"/>
  <c r="C65" i="3"/>
  <c r="B65" i="3"/>
  <c r="F64" i="3"/>
  <c r="E64" i="3"/>
  <c r="D64" i="3"/>
  <c r="C64" i="3"/>
  <c r="B64" i="3"/>
  <c r="F63" i="3"/>
  <c r="E63" i="3"/>
  <c r="D63" i="3"/>
  <c r="C63" i="3"/>
  <c r="B63" i="3"/>
  <c r="F62" i="3"/>
  <c r="E62" i="3"/>
  <c r="D62" i="3"/>
  <c r="C62" i="3"/>
  <c r="B62" i="3"/>
  <c r="F61" i="3"/>
  <c r="E61" i="3"/>
  <c r="D61" i="3"/>
  <c r="C61" i="3"/>
  <c r="B61" i="3"/>
  <c r="F60" i="3"/>
  <c r="E60" i="3"/>
  <c r="D60" i="3"/>
  <c r="C60" i="3"/>
  <c r="B60" i="3"/>
  <c r="F59" i="3"/>
  <c r="E59" i="3"/>
  <c r="D59" i="3"/>
  <c r="C59" i="3"/>
  <c r="B59" i="3"/>
  <c r="F58" i="3"/>
  <c r="E58" i="3"/>
  <c r="D58" i="3"/>
  <c r="C58" i="3"/>
  <c r="B58" i="3"/>
  <c r="F57" i="3"/>
  <c r="E57" i="3"/>
  <c r="D57" i="3"/>
  <c r="C57" i="3"/>
  <c r="B57" i="3"/>
  <c r="F56" i="3"/>
  <c r="E56" i="3"/>
  <c r="D56" i="3"/>
  <c r="C56" i="3"/>
  <c r="B56" i="3"/>
  <c r="F55" i="3"/>
  <c r="E55" i="3"/>
  <c r="D55" i="3"/>
  <c r="C55" i="3"/>
  <c r="B55" i="3"/>
  <c r="F54" i="3"/>
  <c r="E54" i="3"/>
  <c r="D54" i="3"/>
  <c r="C54" i="3"/>
  <c r="B54" i="3"/>
  <c r="F53" i="3"/>
  <c r="E53" i="3"/>
  <c r="D53" i="3"/>
  <c r="C53" i="3"/>
  <c r="B53" i="3"/>
  <c r="F52" i="3"/>
  <c r="E52" i="3"/>
  <c r="D52" i="3"/>
  <c r="C52" i="3"/>
  <c r="B52" i="3"/>
  <c r="F51" i="3"/>
  <c r="E51" i="3"/>
  <c r="D51" i="3"/>
  <c r="C51" i="3"/>
  <c r="B51" i="3"/>
  <c r="F50" i="3"/>
  <c r="E50" i="3"/>
  <c r="D50" i="3"/>
  <c r="C50" i="3"/>
  <c r="B50" i="3"/>
  <c r="F49" i="3"/>
  <c r="E49" i="3"/>
  <c r="D49" i="3"/>
  <c r="C49" i="3"/>
  <c r="B49" i="3"/>
  <c r="F48" i="3"/>
  <c r="E48" i="3"/>
  <c r="D48" i="3"/>
  <c r="C48" i="3"/>
  <c r="B48" i="3"/>
  <c r="F47" i="3"/>
  <c r="E47" i="3"/>
  <c r="D47" i="3"/>
  <c r="C47" i="3"/>
  <c r="B47" i="3"/>
  <c r="F46" i="3"/>
  <c r="E46" i="3"/>
  <c r="D46" i="3"/>
  <c r="C46" i="3"/>
  <c r="B46" i="3"/>
  <c r="F45" i="3"/>
  <c r="E45" i="3"/>
  <c r="D45" i="3"/>
  <c r="C45" i="3"/>
  <c r="B45" i="3"/>
  <c r="F44" i="3"/>
  <c r="E44" i="3"/>
  <c r="D44" i="3"/>
  <c r="C44" i="3"/>
  <c r="B44" i="3"/>
  <c r="F43" i="3"/>
  <c r="E43" i="3"/>
  <c r="D43" i="3"/>
  <c r="C43" i="3"/>
  <c r="B43" i="3"/>
  <c r="F42" i="3"/>
  <c r="E42" i="3"/>
  <c r="D42" i="3"/>
  <c r="C42" i="3"/>
  <c r="B42" i="3"/>
  <c r="F41" i="3"/>
  <c r="E41" i="3"/>
  <c r="D41" i="3"/>
  <c r="C41" i="3"/>
  <c r="B41" i="3"/>
  <c r="F40" i="3"/>
  <c r="E40" i="3"/>
  <c r="D40" i="3"/>
  <c r="C40" i="3"/>
  <c r="B40" i="3"/>
  <c r="F39" i="3"/>
  <c r="E39" i="3"/>
  <c r="D39" i="3"/>
  <c r="C39" i="3"/>
  <c r="B39" i="3"/>
  <c r="F38" i="3"/>
  <c r="E38" i="3"/>
  <c r="D38" i="3"/>
  <c r="C38" i="3"/>
  <c r="B38" i="3"/>
  <c r="F37" i="3"/>
  <c r="E37" i="3"/>
  <c r="D37" i="3"/>
  <c r="C37" i="3"/>
  <c r="B37" i="3"/>
  <c r="F36" i="3"/>
  <c r="E36" i="3"/>
  <c r="D36" i="3"/>
  <c r="C36" i="3"/>
  <c r="B36" i="3"/>
  <c r="F35" i="3"/>
  <c r="E35" i="3"/>
  <c r="D35" i="3"/>
  <c r="C35" i="3"/>
  <c r="B35" i="3"/>
  <c r="F34" i="3"/>
  <c r="E34" i="3"/>
  <c r="D34" i="3"/>
  <c r="C34" i="3"/>
  <c r="B34" i="3"/>
  <c r="F33" i="3"/>
  <c r="E33" i="3"/>
  <c r="D33" i="3"/>
  <c r="C33" i="3"/>
  <c r="B33" i="3"/>
  <c r="F32" i="3"/>
  <c r="E32" i="3"/>
  <c r="D32" i="3"/>
  <c r="C32" i="3"/>
  <c r="B32" i="3"/>
  <c r="F31" i="3"/>
  <c r="E31" i="3"/>
  <c r="D31" i="3"/>
  <c r="C31" i="3"/>
  <c r="B31" i="3"/>
  <c r="F30" i="3"/>
  <c r="E30" i="3"/>
  <c r="D30" i="3"/>
  <c r="C30" i="3"/>
  <c r="B30" i="3"/>
  <c r="F29" i="3"/>
  <c r="E29" i="3"/>
  <c r="D29" i="3"/>
  <c r="C29" i="3"/>
  <c r="B29" i="3"/>
  <c r="F28" i="3"/>
  <c r="E28" i="3"/>
  <c r="D28" i="3"/>
  <c r="C28" i="3"/>
  <c r="B28" i="3"/>
  <c r="F27" i="3"/>
  <c r="E27" i="3"/>
  <c r="D27" i="3"/>
  <c r="C27" i="3"/>
  <c r="B27" i="3"/>
  <c r="F26" i="3"/>
  <c r="E26" i="3"/>
  <c r="D26" i="3"/>
  <c r="C26" i="3"/>
  <c r="B26" i="3"/>
  <c r="F25" i="3"/>
  <c r="E25" i="3"/>
  <c r="D25" i="3"/>
  <c r="C25" i="3"/>
  <c r="B25" i="3"/>
  <c r="F24" i="3"/>
  <c r="E24" i="3"/>
  <c r="D24" i="3"/>
  <c r="C24" i="3"/>
  <c r="B24" i="3"/>
  <c r="F23" i="3"/>
  <c r="E23" i="3"/>
  <c r="D23" i="3"/>
  <c r="C23" i="3"/>
  <c r="B23" i="3"/>
  <c r="F22" i="3"/>
  <c r="E22" i="3"/>
  <c r="D22" i="3"/>
  <c r="C22" i="3"/>
  <c r="B22" i="3"/>
  <c r="F21" i="3"/>
  <c r="E21" i="3"/>
  <c r="D21" i="3"/>
  <c r="C21" i="3"/>
  <c r="B21" i="3"/>
  <c r="F20" i="3"/>
  <c r="E20" i="3"/>
  <c r="D20" i="3"/>
  <c r="C20" i="3"/>
  <c r="B20" i="3"/>
  <c r="F19" i="3"/>
  <c r="E19" i="3"/>
  <c r="D19" i="3"/>
  <c r="C19" i="3"/>
  <c r="B19" i="3"/>
  <c r="F18" i="3"/>
  <c r="E18" i="3"/>
  <c r="D18" i="3"/>
  <c r="C18" i="3"/>
  <c r="B18" i="3"/>
  <c r="F17" i="3"/>
  <c r="E17" i="3"/>
  <c r="D17" i="3"/>
  <c r="C17" i="3"/>
  <c r="B17" i="3"/>
  <c r="F16" i="3"/>
  <c r="E16" i="3"/>
  <c r="D16" i="3"/>
  <c r="C16" i="3"/>
  <c r="B16" i="3"/>
  <c r="F15" i="3"/>
  <c r="E15" i="3"/>
  <c r="D15" i="3"/>
  <c r="C15" i="3"/>
  <c r="B15" i="3"/>
  <c r="F14" i="3"/>
  <c r="E14" i="3"/>
  <c r="D14" i="3"/>
  <c r="C14" i="3"/>
  <c r="B14" i="3"/>
  <c r="F13" i="3"/>
  <c r="E13" i="3"/>
  <c r="D13" i="3"/>
  <c r="C13" i="3"/>
  <c r="B13" i="3"/>
  <c r="F12" i="3"/>
  <c r="E12" i="3"/>
  <c r="D12" i="3"/>
  <c r="C12" i="3"/>
  <c r="B12" i="3"/>
  <c r="F11" i="3"/>
  <c r="E11" i="3"/>
  <c r="D11" i="3"/>
  <c r="C11" i="3"/>
  <c r="B11" i="3"/>
  <c r="F10" i="3"/>
  <c r="E10" i="3"/>
  <c r="D10" i="3"/>
  <c r="C10" i="3"/>
  <c r="B10" i="3"/>
  <c r="F9" i="3"/>
  <c r="E9" i="3"/>
  <c r="D9" i="3"/>
  <c r="C9" i="3"/>
  <c r="B9" i="3"/>
  <c r="F8" i="3"/>
  <c r="E8" i="3"/>
  <c r="D8" i="3"/>
  <c r="C8" i="3"/>
  <c r="B8" i="3"/>
  <c r="F7" i="3"/>
  <c r="E7" i="3"/>
  <c r="D7" i="3"/>
  <c r="C7" i="3"/>
  <c r="B7" i="3"/>
  <c r="F6" i="3"/>
  <c r="E6" i="3"/>
  <c r="D6" i="3"/>
  <c r="C6" i="3"/>
  <c r="B6" i="3"/>
  <c r="F5" i="3"/>
  <c r="E5" i="3"/>
  <c r="D5" i="3"/>
  <c r="C5" i="3"/>
  <c r="B5" i="3"/>
  <c r="F4" i="3"/>
  <c r="E4" i="3"/>
  <c r="D4" i="3"/>
  <c r="C4" i="3"/>
  <c r="B4" i="3"/>
  <c r="F3" i="3"/>
  <c r="E3" i="3"/>
  <c r="D3" i="3"/>
  <c r="C3" i="3"/>
  <c r="B3" i="3"/>
  <c r="F2" i="3"/>
  <c r="B779" i="3" s="1"/>
  <c r="E2" i="3"/>
  <c r="B777" i="3" s="1"/>
  <c r="D2" i="3"/>
  <c r="B775" i="3" s="1"/>
  <c r="C2" i="3"/>
  <c r="B2" i="3"/>
</calcChain>
</file>

<file path=xl/sharedStrings.xml><?xml version="1.0" encoding="utf-8"?>
<sst xmlns="http://schemas.openxmlformats.org/spreadsheetml/2006/main" count="183" uniqueCount="28">
  <si>
    <t>ETA</t>
  </si>
  <si>
    <t>ETD</t>
  </si>
  <si>
    <t>Berth</t>
  </si>
  <si>
    <t>Start</t>
  </si>
  <si>
    <t>End</t>
  </si>
  <si>
    <t>LOA</t>
  </si>
  <si>
    <t>K12C</t>
  </si>
  <si>
    <t/>
  </si>
  <si>
    <t>K12</t>
  </si>
  <si>
    <t>TT2</t>
  </si>
  <si>
    <t>K12A</t>
  </si>
  <si>
    <t>K12B</t>
  </si>
  <si>
    <t>ReportStart</t>
  </si>
  <si>
    <t>NumDays</t>
  </si>
  <si>
    <t>SlotHours</t>
  </si>
  <si>
    <t>PrepHours</t>
  </si>
  <si>
    <t>XalanFactor</t>
  </si>
  <si>
    <t>SlotTime</t>
  </si>
  <si>
    <t>K12C occupied_hours</t>
  </si>
  <si>
    <t>K12C pct</t>
  </si>
  <si>
    <t>K12A occupied_hours</t>
  </si>
  <si>
    <t>K12A pct</t>
  </si>
  <si>
    <t>K12 occupied_hours</t>
  </si>
  <si>
    <t>K12 pct</t>
  </si>
  <si>
    <t>K12B occupied_hours</t>
  </si>
  <si>
    <t>K12B pct</t>
  </si>
  <si>
    <t>TT2 occupied_hours</t>
  </si>
  <si>
    <t>TT2 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</si>
</sst>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topLeftCell="A25" workbookViewId="0"/>
  </sheetViews>
  <sheetFormatPr defaultRowHeight="14.4" x14ac:dyDescent="0.3"/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s="1">
        <v>45936.739583333336</v>
      </c>
      <c r="B2" s="1">
        <v>45938.069444444445</v>
      </c>
      <c r="C2" t="s">
        <v>6</v>
      </c>
      <c r="D2" t="s">
        <v>7</v>
      </c>
      <c r="E2" t="s">
        <v>7</v>
      </c>
      <c r="F2">
        <v>180</v>
      </c>
    </row>
    <row r="3" spans="1:6" ht="15.6" x14ac:dyDescent="0.3">
      <c r="A3" s="1">
        <v>45937.166666666664</v>
      </c>
      <c r="B3" s="1">
        <v>45938.069444444445</v>
      </c>
      <c r="C3" t="s">
        <v>8</v>
      </c>
      <c r="D3" t="s">
        <v>7</v>
      </c>
      <c r="E3" t="s">
        <v>7</v>
      </c>
      <c r="F3">
        <v>165</v>
      </c>
    </row>
    <row r="4" spans="1:6" ht="15.6" x14ac:dyDescent="0.3">
      <c r="A4" s="1">
        <v>45937.590277777781</v>
      </c>
      <c r="B4" s="1">
        <v>45939.611111099533</v>
      </c>
      <c r="C4" t="s">
        <v>9</v>
      </c>
      <c r="D4" t="s">
        <v>7</v>
      </c>
      <c r="E4" t="s">
        <v>7</v>
      </c>
      <c r="F4">
        <v>150</v>
      </c>
    </row>
    <row r="5" spans="1:6" ht="15.6" x14ac:dyDescent="0.3">
      <c r="A5" s="1">
        <v>45939.131944444445</v>
      </c>
      <c r="B5" s="1">
        <v>45939.618055543979</v>
      </c>
      <c r="C5" t="s">
        <v>8</v>
      </c>
      <c r="D5" t="s">
        <v>7</v>
      </c>
      <c r="E5" t="s">
        <v>7</v>
      </c>
      <c r="F5">
        <v>170</v>
      </c>
    </row>
    <row r="6" spans="1:6" ht="15.6" x14ac:dyDescent="0.3">
      <c r="A6" s="1">
        <v>45941.28472221065</v>
      </c>
      <c r="B6" s="1">
        <v>45942.958333333336</v>
      </c>
      <c r="C6" t="s">
        <v>6</v>
      </c>
      <c r="D6" t="s">
        <v>7</v>
      </c>
      <c r="E6" t="s">
        <v>7</v>
      </c>
      <c r="F6">
        <v>180</v>
      </c>
    </row>
    <row r="7" spans="1:6" ht="15.6" x14ac:dyDescent="0.3">
      <c r="A7" s="1">
        <v>45941.65625</v>
      </c>
      <c r="B7" s="1">
        <v>45943.09375</v>
      </c>
      <c r="C7" t="s">
        <v>9</v>
      </c>
      <c r="D7" t="s">
        <v>7</v>
      </c>
      <c r="E7" t="s">
        <v>7</v>
      </c>
      <c r="F7">
        <v>108</v>
      </c>
    </row>
    <row r="8" spans="1:6" ht="15.6" x14ac:dyDescent="0.3">
      <c r="A8" s="1">
        <v>45941.819444444445</v>
      </c>
      <c r="B8" s="1">
        <v>45942.125</v>
      </c>
      <c r="C8" t="s">
        <v>10</v>
      </c>
      <c r="D8" t="s">
        <v>7</v>
      </c>
      <c r="E8" t="s">
        <v>7</v>
      </c>
      <c r="F8">
        <v>100</v>
      </c>
    </row>
    <row r="9" spans="1:6" ht="15.6" x14ac:dyDescent="0.3">
      <c r="A9" s="1">
        <v>45943.288194444445</v>
      </c>
      <c r="B9" s="1">
        <v>45944.291666666664</v>
      </c>
      <c r="C9" t="s">
        <v>10</v>
      </c>
      <c r="D9" t="s">
        <v>7</v>
      </c>
      <c r="E9" t="s">
        <v>7</v>
      </c>
      <c r="F9">
        <v>147</v>
      </c>
    </row>
    <row r="10" spans="1:6" ht="15.6" x14ac:dyDescent="0.3">
      <c r="A10" s="1">
        <v>45943.239583333336</v>
      </c>
      <c r="B10" s="1">
        <v>45945.826388888891</v>
      </c>
      <c r="C10" t="s">
        <v>6</v>
      </c>
      <c r="D10" t="s">
        <v>7</v>
      </c>
      <c r="E10" t="s">
        <v>7</v>
      </c>
      <c r="F10">
        <v>190</v>
      </c>
    </row>
    <row r="11" spans="1:6" ht="15.6" x14ac:dyDescent="0.3">
      <c r="A11" s="1">
        <v>45943.743055543979</v>
      </c>
      <c r="B11" s="1">
        <v>45945.041666666664</v>
      </c>
      <c r="C11" t="s">
        <v>8</v>
      </c>
      <c r="D11" t="s">
        <v>7</v>
      </c>
      <c r="E11" t="s">
        <v>7</v>
      </c>
      <c r="F11">
        <v>178</v>
      </c>
    </row>
    <row r="12" spans="1:6" ht="15.6" x14ac:dyDescent="0.3">
      <c r="A12" s="1">
        <v>45943.822916666664</v>
      </c>
      <c r="B12" s="1">
        <v>45946.625</v>
      </c>
      <c r="C12" t="s">
        <v>9</v>
      </c>
      <c r="D12" t="s">
        <v>7</v>
      </c>
      <c r="E12" t="s">
        <v>7</v>
      </c>
      <c r="F12">
        <v>170</v>
      </c>
    </row>
    <row r="13" spans="1:6" ht="15.6" x14ac:dyDescent="0.3">
      <c r="A13" s="1">
        <v>45945.97222221065</v>
      </c>
      <c r="B13" s="1">
        <v>45948.451388888891</v>
      </c>
      <c r="C13" t="s">
        <v>8</v>
      </c>
      <c r="D13" t="s">
        <v>7</v>
      </c>
      <c r="E13" t="s">
        <v>7</v>
      </c>
      <c r="F13">
        <v>116</v>
      </c>
    </row>
    <row r="14" spans="1:6" ht="15.6" x14ac:dyDescent="0.3">
      <c r="A14" s="1">
        <v>45946.916666666664</v>
      </c>
      <c r="B14" s="1">
        <v>45948.458333333336</v>
      </c>
      <c r="C14" t="s">
        <v>8</v>
      </c>
      <c r="D14" t="s">
        <v>7</v>
      </c>
      <c r="E14" t="s">
        <v>7</v>
      </c>
      <c r="F14">
        <v>119</v>
      </c>
    </row>
    <row r="15" spans="1:6" ht="15.6" x14ac:dyDescent="0.3">
      <c r="A15" s="1">
        <v>45949.645833333336</v>
      </c>
      <c r="B15" s="1">
        <v>45951.048611099533</v>
      </c>
      <c r="C15" t="s">
        <v>9</v>
      </c>
      <c r="D15" t="s">
        <v>7</v>
      </c>
      <c r="E15" t="s">
        <v>7</v>
      </c>
      <c r="F15">
        <v>180</v>
      </c>
    </row>
    <row r="16" spans="1:6" ht="15.6" x14ac:dyDescent="0.3">
      <c r="A16" s="1">
        <v>45950.020833333336</v>
      </c>
      <c r="B16" s="1">
        <v>45951.576388888891</v>
      </c>
      <c r="C16" t="s">
        <v>10</v>
      </c>
      <c r="D16" t="s">
        <v>7</v>
      </c>
      <c r="E16" t="s">
        <v>7</v>
      </c>
      <c r="F16">
        <v>167</v>
      </c>
    </row>
    <row r="17" spans="1:6" ht="15.6" x14ac:dyDescent="0.3">
      <c r="A17" s="1">
        <v>45952.8125</v>
      </c>
      <c r="B17" s="1">
        <v>45954.256944444445</v>
      </c>
      <c r="C17" t="s">
        <v>10</v>
      </c>
      <c r="D17" t="s">
        <v>7</v>
      </c>
      <c r="E17" t="s">
        <v>7</v>
      </c>
      <c r="F17">
        <v>117</v>
      </c>
    </row>
    <row r="18" spans="1:6" ht="15.6" x14ac:dyDescent="0.3">
      <c r="A18" s="1">
        <v>45953.572916666664</v>
      </c>
      <c r="B18" s="1">
        <v>45963.885416666664</v>
      </c>
      <c r="C18" t="s">
        <v>8</v>
      </c>
      <c r="D18" t="s">
        <v>7</v>
      </c>
      <c r="E18" t="s">
        <v>7</v>
      </c>
      <c r="F18">
        <v>182</v>
      </c>
    </row>
    <row r="19" spans="1:6" ht="15.6" x14ac:dyDescent="0.3">
      <c r="A19" s="1">
        <v>45954.131944444445</v>
      </c>
      <c r="B19" s="1">
        <v>45955.3125</v>
      </c>
      <c r="C19" t="s">
        <v>9</v>
      </c>
      <c r="D19" t="s">
        <v>7</v>
      </c>
      <c r="E19" t="s">
        <v>7</v>
      </c>
      <c r="F19">
        <v>119</v>
      </c>
    </row>
    <row r="20" spans="1:6" ht="15.6" x14ac:dyDescent="0.3">
      <c r="A20" s="1">
        <v>45954.145833333336</v>
      </c>
      <c r="B20" s="1">
        <v>45954.791666666664</v>
      </c>
      <c r="C20" t="s">
        <v>6</v>
      </c>
      <c r="D20" t="s">
        <v>7</v>
      </c>
      <c r="E20" t="s">
        <v>7</v>
      </c>
      <c r="F20">
        <v>120</v>
      </c>
    </row>
    <row r="21" spans="1:6" ht="15.6" x14ac:dyDescent="0.3">
      <c r="A21" s="1">
        <v>45955.173611099533</v>
      </c>
      <c r="B21" s="1">
        <v>45957.243055543979</v>
      </c>
      <c r="C21" t="s">
        <v>10</v>
      </c>
      <c r="D21" t="s">
        <v>7</v>
      </c>
      <c r="E21" t="s">
        <v>7</v>
      </c>
      <c r="F21">
        <v>125</v>
      </c>
    </row>
    <row r="22" spans="1:6" ht="15.6" x14ac:dyDescent="0.3">
      <c r="A22" s="1">
        <v>45955.15625</v>
      </c>
      <c r="B22" s="1">
        <v>45955.861111099533</v>
      </c>
      <c r="C22" t="s">
        <v>6</v>
      </c>
      <c r="D22" t="s">
        <v>7</v>
      </c>
      <c r="E22" t="s">
        <v>7</v>
      </c>
      <c r="F22">
        <v>120</v>
      </c>
    </row>
    <row r="23" spans="1:6" ht="15.6" x14ac:dyDescent="0.3">
      <c r="A23" s="1">
        <v>45956.927083333336</v>
      </c>
      <c r="B23" s="1">
        <v>45963.854166666664</v>
      </c>
      <c r="C23" t="s">
        <v>6</v>
      </c>
      <c r="D23" t="s">
        <v>7</v>
      </c>
      <c r="E23" t="s">
        <v>7</v>
      </c>
      <c r="F23">
        <v>190</v>
      </c>
    </row>
    <row r="24" spans="1:6" ht="15.6" x14ac:dyDescent="0.3">
      <c r="A24" s="1">
        <v>45958.708333333336</v>
      </c>
      <c r="B24" s="1">
        <v>45959.75</v>
      </c>
      <c r="C24" t="s">
        <v>9</v>
      </c>
      <c r="D24" t="s">
        <v>7</v>
      </c>
      <c r="E24" t="s">
        <v>7</v>
      </c>
      <c r="F24">
        <v>147</v>
      </c>
    </row>
    <row r="25" spans="1:6" ht="15.6" x14ac:dyDescent="0.3">
      <c r="A25" s="1">
        <v>45959.350694444445</v>
      </c>
      <c r="B25" s="1">
        <v>45962.5</v>
      </c>
      <c r="C25" t="s">
        <v>10</v>
      </c>
      <c r="D25" t="s">
        <v>7</v>
      </c>
      <c r="E25" t="s">
        <v>7</v>
      </c>
      <c r="F25">
        <v>180</v>
      </c>
    </row>
    <row r="26" spans="1:6" ht="15.6" x14ac:dyDescent="0.3">
      <c r="A26" s="1">
        <v>45959.895833333336</v>
      </c>
      <c r="B26" s="1">
        <v>45963.1875</v>
      </c>
      <c r="C26" t="s">
        <v>9</v>
      </c>
      <c r="D26" t="s">
        <v>7</v>
      </c>
      <c r="E26" t="s">
        <v>7</v>
      </c>
      <c r="F26">
        <v>108</v>
      </c>
    </row>
    <row r="27" spans="1:6" ht="15.6" x14ac:dyDescent="0.3">
      <c r="A27" s="1">
        <v>45960.75</v>
      </c>
      <c r="B27" s="1">
        <v>45962.177083333336</v>
      </c>
      <c r="C27" t="s">
        <v>9</v>
      </c>
      <c r="D27" t="s">
        <v>7</v>
      </c>
      <c r="E27" t="s">
        <v>7</v>
      </c>
      <c r="F27">
        <v>106</v>
      </c>
    </row>
    <row r="28" spans="1:6" ht="15.6" x14ac:dyDescent="0.3">
      <c r="A28" s="1">
        <v>45932.329861099533</v>
      </c>
      <c r="B28" s="1">
        <v>45932.861111099533</v>
      </c>
      <c r="C28" t="s">
        <v>11</v>
      </c>
      <c r="D28" t="s">
        <v>7</v>
      </c>
      <c r="E28" t="s">
        <v>7</v>
      </c>
      <c r="F28">
        <v>119</v>
      </c>
    </row>
    <row r="29" spans="1:6" ht="15.6" x14ac:dyDescent="0.3">
      <c r="A29" s="1">
        <v>45932.302083333336</v>
      </c>
      <c r="B29" s="1">
        <v>45933.22222221065</v>
      </c>
      <c r="C29" t="s">
        <v>8</v>
      </c>
      <c r="D29" t="s">
        <v>7</v>
      </c>
      <c r="E29" t="s">
        <v>7</v>
      </c>
      <c r="F29">
        <v>150</v>
      </c>
    </row>
    <row r="30" spans="1:6" ht="15.6" x14ac:dyDescent="0.3">
      <c r="A30" s="1">
        <v>45932.902777777781</v>
      </c>
      <c r="B30" s="1">
        <v>45934.47222221065</v>
      </c>
      <c r="C30" t="s">
        <v>10</v>
      </c>
      <c r="D30" t="s">
        <v>7</v>
      </c>
      <c r="E30" t="s">
        <v>7</v>
      </c>
      <c r="F30">
        <v>150</v>
      </c>
    </row>
    <row r="31" spans="1:6" ht="15.6" x14ac:dyDescent="0.3">
      <c r="A31" s="1">
        <v>45934.069444444445</v>
      </c>
      <c r="B31" s="1">
        <v>45934.9375</v>
      </c>
      <c r="C31" t="s">
        <v>11</v>
      </c>
      <c r="D31" t="s">
        <v>7</v>
      </c>
      <c r="E31" t="s">
        <v>7</v>
      </c>
      <c r="F31">
        <v>124</v>
      </c>
    </row>
    <row r="32" spans="1:6" ht="15.6" x14ac:dyDescent="0.3">
      <c r="A32" s="1">
        <v>45933.996527777781</v>
      </c>
      <c r="B32" s="1">
        <v>45934.958333333336</v>
      </c>
      <c r="C32" t="s">
        <v>8</v>
      </c>
      <c r="D32" t="s">
        <v>7</v>
      </c>
      <c r="E32" t="s">
        <v>7</v>
      </c>
      <c r="F32">
        <v>121</v>
      </c>
    </row>
    <row r="33" spans="1:6" ht="15.6" x14ac:dyDescent="0.3">
      <c r="A33" s="1">
        <v>45936.527777777781</v>
      </c>
      <c r="B33" s="1">
        <v>45937.1875</v>
      </c>
      <c r="C33" t="s">
        <v>11</v>
      </c>
      <c r="D33" t="s">
        <v>7</v>
      </c>
      <c r="E33" t="s">
        <v>7</v>
      </c>
      <c r="F33">
        <v>121</v>
      </c>
    </row>
    <row r="34" spans="1:6" ht="15.6" x14ac:dyDescent="0.3">
      <c r="A34" s="1">
        <v>45937.041666666664</v>
      </c>
      <c r="B34" s="1">
        <v>45937.5</v>
      </c>
      <c r="C34" t="s">
        <v>8</v>
      </c>
      <c r="D34" t="s">
        <v>7</v>
      </c>
      <c r="E34" t="s">
        <v>7</v>
      </c>
      <c r="F34">
        <v>100</v>
      </c>
    </row>
    <row r="35" spans="1:6" ht="15.6" x14ac:dyDescent="0.3">
      <c r="A35" s="1">
        <v>45940.09722221065</v>
      </c>
      <c r="B35" s="1">
        <v>45940.583333333336</v>
      </c>
      <c r="C35" t="s">
        <v>8</v>
      </c>
      <c r="D35" t="s">
        <v>7</v>
      </c>
      <c r="E35" t="s">
        <v>7</v>
      </c>
      <c r="F35">
        <v>119</v>
      </c>
    </row>
    <row r="36" spans="1:6" ht="15.6" x14ac:dyDescent="0.3">
      <c r="A36" s="1">
        <v>45940.645833333336</v>
      </c>
      <c r="B36" s="1">
        <v>45941.583333333336</v>
      </c>
      <c r="C36" t="s">
        <v>11</v>
      </c>
      <c r="D36" t="s">
        <v>7</v>
      </c>
      <c r="E36" t="s">
        <v>7</v>
      </c>
      <c r="F36">
        <v>150</v>
      </c>
    </row>
    <row r="37" spans="1:6" ht="15.6" x14ac:dyDescent="0.3">
      <c r="A37" s="1">
        <v>45941.635416666664</v>
      </c>
      <c r="B37" s="1">
        <v>45942.166666666664</v>
      </c>
      <c r="C37" t="s">
        <v>11</v>
      </c>
      <c r="D37" t="s">
        <v>7</v>
      </c>
      <c r="E37" t="s">
        <v>7</v>
      </c>
      <c r="F37">
        <v>121</v>
      </c>
    </row>
    <row r="38" spans="1:6" ht="15.6" x14ac:dyDescent="0.3">
      <c r="A38" s="1">
        <v>45942.385416666664</v>
      </c>
      <c r="B38" s="1">
        <v>45943</v>
      </c>
      <c r="C38" t="s">
        <v>8</v>
      </c>
      <c r="D38" t="s">
        <v>7</v>
      </c>
      <c r="E38" t="s">
        <v>7</v>
      </c>
      <c r="F38">
        <v>124</v>
      </c>
    </row>
    <row r="39" spans="1:6" ht="15.6" x14ac:dyDescent="0.3">
      <c r="A39" s="1">
        <v>45943.090277777781</v>
      </c>
      <c r="B39" s="1">
        <v>45943.979166666664</v>
      </c>
      <c r="C39" t="s">
        <v>11</v>
      </c>
      <c r="D39" t="s">
        <v>7</v>
      </c>
      <c r="E39" t="s">
        <v>7</v>
      </c>
      <c r="F39">
        <v>150</v>
      </c>
    </row>
    <row r="40" spans="1:6" ht="15.6" x14ac:dyDescent="0.3">
      <c r="A40" s="1">
        <v>45944.197916666664</v>
      </c>
      <c r="B40" s="1">
        <v>45945.375</v>
      </c>
      <c r="C40" t="s">
        <v>11</v>
      </c>
      <c r="D40" t="s">
        <v>7</v>
      </c>
      <c r="E40" t="s">
        <v>7</v>
      </c>
      <c r="F40">
        <v>121</v>
      </c>
    </row>
    <row r="41" spans="1:6" ht="15.6" x14ac:dyDescent="0.3">
      <c r="A41" s="1">
        <v>45946.489583333336</v>
      </c>
      <c r="B41" s="1">
        <v>45946.875</v>
      </c>
      <c r="C41" t="s">
        <v>11</v>
      </c>
      <c r="D41" t="s">
        <v>7</v>
      </c>
      <c r="E41" t="s">
        <v>7</v>
      </c>
      <c r="F41">
        <v>100</v>
      </c>
    </row>
    <row r="42" spans="1:6" ht="15.6" x14ac:dyDescent="0.3">
      <c r="A42" s="1">
        <v>45947.552083333336</v>
      </c>
      <c r="B42" s="1">
        <v>45948.145833333336</v>
      </c>
      <c r="C42" t="s">
        <v>11</v>
      </c>
      <c r="D42" t="s">
        <v>7</v>
      </c>
      <c r="E42" t="s">
        <v>7</v>
      </c>
      <c r="F42">
        <v>119</v>
      </c>
    </row>
    <row r="43" spans="1:6" ht="15.6" x14ac:dyDescent="0.3">
      <c r="A43" s="1">
        <v>45948.69097221065</v>
      </c>
      <c r="B43" s="1">
        <v>45949.486111099533</v>
      </c>
      <c r="C43" t="s">
        <v>11</v>
      </c>
      <c r="D43" t="s">
        <v>7</v>
      </c>
      <c r="E43" t="s">
        <v>7</v>
      </c>
      <c r="F43">
        <v>150</v>
      </c>
    </row>
    <row r="44" spans="1:6" ht="15.6" x14ac:dyDescent="0.3">
      <c r="A44" s="1">
        <v>45949.201388888891</v>
      </c>
      <c r="B44" s="1">
        <v>45949.916666666664</v>
      </c>
      <c r="C44" t="s">
        <v>8</v>
      </c>
      <c r="D44" t="s">
        <v>7</v>
      </c>
      <c r="E44" t="s">
        <v>7</v>
      </c>
      <c r="F44">
        <v>121</v>
      </c>
    </row>
    <row r="45" spans="1:6" ht="15.6" x14ac:dyDescent="0.3">
      <c r="A45" s="1">
        <v>45950.0625</v>
      </c>
      <c r="B45" s="1">
        <v>45951.041666666664</v>
      </c>
      <c r="C45" t="s">
        <v>8</v>
      </c>
      <c r="D45" t="s">
        <v>7</v>
      </c>
      <c r="E45" t="s">
        <v>7</v>
      </c>
      <c r="F45">
        <v>150</v>
      </c>
    </row>
    <row r="46" spans="1:6" ht="15.6" x14ac:dyDescent="0.3">
      <c r="A46" s="1">
        <v>45949.527777777781</v>
      </c>
      <c r="B46" s="1">
        <v>45951.1875</v>
      </c>
      <c r="C46" t="s">
        <v>11</v>
      </c>
      <c r="D46" t="s">
        <v>7</v>
      </c>
      <c r="E46" t="s">
        <v>7</v>
      </c>
      <c r="F46">
        <v>124</v>
      </c>
    </row>
    <row r="47" spans="1:6" ht="15.6" x14ac:dyDescent="0.3">
      <c r="A47" s="1">
        <v>45953.621527777781</v>
      </c>
      <c r="B47" s="1">
        <v>45954.25</v>
      </c>
      <c r="C47" t="s">
        <v>11</v>
      </c>
      <c r="D47" t="s">
        <v>7</v>
      </c>
      <c r="E47" t="s">
        <v>7</v>
      </c>
      <c r="F47">
        <v>121</v>
      </c>
    </row>
    <row r="48" spans="1:6" ht="15.6" x14ac:dyDescent="0.3">
      <c r="A48" s="1">
        <v>45955.69097221065</v>
      </c>
      <c r="B48" s="1">
        <v>45956.229166666664</v>
      </c>
      <c r="C48" t="s">
        <v>11</v>
      </c>
      <c r="D48" t="s">
        <v>7</v>
      </c>
      <c r="E48" t="s">
        <v>7</v>
      </c>
      <c r="F48">
        <v>119</v>
      </c>
    </row>
    <row r="49" spans="1:6" ht="15.6" x14ac:dyDescent="0.3">
      <c r="A49" s="1">
        <v>45957.864583333336</v>
      </c>
      <c r="B49" s="1">
        <v>45958.625</v>
      </c>
      <c r="C49" t="s">
        <v>10</v>
      </c>
      <c r="D49" t="s">
        <v>7</v>
      </c>
      <c r="E49" t="s">
        <v>7</v>
      </c>
      <c r="F49">
        <v>100</v>
      </c>
    </row>
    <row r="50" spans="1:6" ht="15.6" x14ac:dyDescent="0.3">
      <c r="A50" s="1">
        <v>45958.020833333336</v>
      </c>
      <c r="B50" s="1">
        <v>45958.965277777781</v>
      </c>
      <c r="C50" t="s">
        <v>11</v>
      </c>
      <c r="D50" t="s">
        <v>7</v>
      </c>
      <c r="E50" t="s">
        <v>7</v>
      </c>
      <c r="F50">
        <v>150</v>
      </c>
    </row>
    <row r="51" spans="1:6" ht="15.6" x14ac:dyDescent="0.3">
      <c r="A51" s="1">
        <v>45958.788194444445</v>
      </c>
      <c r="B51" s="1">
        <v>45959.329861099533</v>
      </c>
      <c r="C51" t="s">
        <v>10</v>
      </c>
      <c r="D51" t="s">
        <v>7</v>
      </c>
      <c r="E51" t="s">
        <v>7</v>
      </c>
      <c r="F51">
        <v>124</v>
      </c>
    </row>
    <row r="52" spans="1:6" ht="15.6" x14ac:dyDescent="0.3">
      <c r="A52" s="1">
        <v>45959.013888888891</v>
      </c>
      <c r="B52" s="1">
        <v>45959.666666666664</v>
      </c>
      <c r="C52" t="s">
        <v>11</v>
      </c>
      <c r="D52" t="s">
        <v>7</v>
      </c>
      <c r="E52" t="s">
        <v>7</v>
      </c>
      <c r="F52">
        <v>150</v>
      </c>
    </row>
    <row r="53" spans="1:6" ht="15.6" x14ac:dyDescent="0.3">
      <c r="A53" s="1">
        <v>45960.798611099533</v>
      </c>
      <c r="B53" s="1">
        <v>45961.375</v>
      </c>
      <c r="C53" t="s">
        <v>11</v>
      </c>
      <c r="D53" t="s">
        <v>7</v>
      </c>
      <c r="E53" t="s">
        <v>7</v>
      </c>
      <c r="F53">
        <v>121</v>
      </c>
    </row>
  </sheetData>
  <pageMargins left="0.7" right="0.7" top="0.75" bottom="0.75" header="0.3" footer="0.3"/>
  <ignoredErrors>
    <ignoredError sqref="A1:F5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cols>
    <col min="1" max="1" width="10.69921875" bestFit="1" customWidth="1"/>
  </cols>
  <sheetData>
    <row r="1" spans="1:2" ht="15.6" x14ac:dyDescent="0.3">
      <c r="A1" t="s">
        <v>12</v>
      </c>
      <c r="B1" s="1">
        <v>25569.334212175927</v>
      </c>
    </row>
    <row r="2" spans="1:2" ht="15.6" x14ac:dyDescent="0.3">
      <c r="A2" t="s">
        <v>13</v>
      </c>
      <c r="B2">
        <v>32</v>
      </c>
    </row>
    <row r="3" spans="1:2" ht="15.6" x14ac:dyDescent="0.3">
      <c r="A3" t="s">
        <v>14</v>
      </c>
      <c r="B3">
        <v>1</v>
      </c>
    </row>
    <row r="4" spans="1:2" ht="15.6" x14ac:dyDescent="0.3">
      <c r="A4" t="s">
        <v>15</v>
      </c>
      <c r="B4">
        <v>2</v>
      </c>
    </row>
    <row r="5" spans="1:2" ht="15.6" x14ac:dyDescent="0.3">
      <c r="A5" t="s">
        <v>16</v>
      </c>
      <c r="B5">
        <v>0.3</v>
      </c>
    </row>
  </sheetData>
  <pageMargins left="0.7" right="0.7" top="0.75" bottom="0.75" header="0.3" footer="0.3"/>
  <ignoredErrors>
    <ignoredError sqref="A1:B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80"/>
  <sheetViews>
    <sheetView topLeftCell="A757" workbookViewId="0">
      <selection activeCell="B779" sqref="B779"/>
    </sheetView>
  </sheetViews>
  <sheetFormatPr defaultRowHeight="14.4" x14ac:dyDescent="0.3"/>
  <cols>
    <col min="1" max="1" width="19.09765625" bestFit="1" customWidth="1"/>
  </cols>
  <sheetData>
    <row r="1" spans="1:6" ht="15.6" x14ac:dyDescent="0.3">
      <c r="A1" t="s">
        <v>17</v>
      </c>
      <c r="B1" t="s">
        <v>6</v>
      </c>
      <c r="C1" t="s">
        <v>10</v>
      </c>
      <c r="D1" t="s">
        <v>8</v>
      </c>
      <c r="E1" t="s">
        <v>11</v>
      </c>
      <c r="F1" t="s">
        <v>9</v>
      </c>
    </row>
    <row r="2" spans="1:6" ht="15.6" x14ac:dyDescent="0.3">
      <c r="A2" s="1">
        <v>45932.000347222223</v>
      </c>
      <c r="B2">
        <f>--(SUMPRODUCT((Data!$C$2:$C$53="K12C")*((Data!$A$2:$A$53 - Settings!$B$4/24) &lt;= A2)*((Data!$B$2:$B$53 + Settings!$B$4/24) &gt; A2))&gt;0)</f>
        <v>0</v>
      </c>
      <c r="C2">
        <f>--(SUMPRODUCT((Data!$C$2:$C$53="K12A")*((Data!$A$2:$A$53 - Settings!$B$4/24) &lt;= A2)*((Data!$B$2:$B$53 + Settings!$B$4/24) &gt; A2))&gt;0)</f>
        <v>0</v>
      </c>
      <c r="D2">
        <f>--(SUMPRODUCT((Data!$C$2:$C$53="K12")*((Data!$A$2:$A$53 - Settings!$B$4/24) &lt;= A2)*((Data!$B$2:$B$53 + Settings!$B$4/24) &gt; A2))&gt;0)</f>
        <v>0</v>
      </c>
      <c r="E2">
        <f>--(SUMPRODUCT((Data!$C$2:$C$53="K12B")*((Data!$A$2:$A$53 - Settings!$B$4/24) &lt;= A2)*((Data!$B$2:$B$53 + Settings!$B$4/24) &gt; A2))&gt;0)</f>
        <v>0</v>
      </c>
      <c r="F2">
        <f>--(SUMPRODUCT((Data!$C$2:$C$53="TT2")*((Data!$A$2:$A$53 - Settings!$B$4/24) &lt;= A2)*((Data!$B$2:$B$53 + Settings!$B$4/24) &gt; A2))&gt;0)</f>
        <v>0</v>
      </c>
    </row>
    <row r="3" spans="1:6" ht="15.6" x14ac:dyDescent="0.3">
      <c r="A3" s="1">
        <v>45932.042013888888</v>
      </c>
      <c r="B3">
        <f>--(SUMPRODUCT((Data!$C$2:$C$53="K12C")*((Data!$A$2:$A$53 - Settings!$B$4/24) &lt;= A3)*((Data!$B$2:$B$53 + Settings!$B$4/24) &gt; A3))&gt;0)</f>
        <v>0</v>
      </c>
      <c r="C3">
        <f>--(SUMPRODUCT((Data!$C$2:$C$53="K12A")*((Data!$A$2:$A$53 - Settings!$B$4/24) &lt;= A3)*((Data!$B$2:$B$53 + Settings!$B$4/24) &gt; A3))&gt;0)</f>
        <v>0</v>
      </c>
      <c r="D3">
        <f>--(SUMPRODUCT((Data!$C$2:$C$53="K12")*((Data!$A$2:$A$53 - Settings!$B$4/24) &lt;= A3)*((Data!$B$2:$B$53 + Settings!$B$4/24) &gt; A3))&gt;0)</f>
        <v>0</v>
      </c>
      <c r="E3">
        <f>--(SUMPRODUCT((Data!$C$2:$C$53="K12B")*((Data!$A$2:$A$53 - Settings!$B$4/24) &lt;= A3)*((Data!$B$2:$B$53 + Settings!$B$4/24) &gt; A3))&gt;0)</f>
        <v>0</v>
      </c>
      <c r="F3">
        <f>--(SUMPRODUCT((Data!$C$2:$C$53="TT2")*((Data!$A$2:$A$53 - Settings!$B$4/24) &lt;= A3)*((Data!$B$2:$B$53 + Settings!$B$4/24) &gt; A3))&gt;0)</f>
        <v>0</v>
      </c>
    </row>
    <row r="4" spans="1:6" ht="15.6" x14ac:dyDescent="0.3">
      <c r="A4" s="1">
        <v>45932.083680555559</v>
      </c>
      <c r="B4">
        <f>--(SUMPRODUCT((Data!$C$2:$C$53="K12C")*((Data!$A$2:$A$53 - Settings!$B$4/24) &lt;= A4)*((Data!$B$2:$B$53 + Settings!$B$4/24) &gt; A4))&gt;0)</f>
        <v>0</v>
      </c>
      <c r="C4">
        <f>--(SUMPRODUCT((Data!$C$2:$C$53="K12A")*((Data!$A$2:$A$53 - Settings!$B$4/24) &lt;= A4)*((Data!$B$2:$B$53 + Settings!$B$4/24) &gt; A4))&gt;0)</f>
        <v>0</v>
      </c>
      <c r="D4">
        <f>--(SUMPRODUCT((Data!$C$2:$C$53="K12")*((Data!$A$2:$A$53 - Settings!$B$4/24) &lt;= A4)*((Data!$B$2:$B$53 + Settings!$B$4/24) &gt; A4))&gt;0)</f>
        <v>0</v>
      </c>
      <c r="E4">
        <f>--(SUMPRODUCT((Data!$C$2:$C$53="K12B")*((Data!$A$2:$A$53 - Settings!$B$4/24) &lt;= A4)*((Data!$B$2:$B$53 + Settings!$B$4/24) &gt; A4))&gt;0)</f>
        <v>0</v>
      </c>
      <c r="F4">
        <f>--(SUMPRODUCT((Data!$C$2:$C$53="TT2")*((Data!$A$2:$A$53 - Settings!$B$4/24) &lt;= A4)*((Data!$B$2:$B$53 + Settings!$B$4/24) &gt; A4))&gt;0)</f>
        <v>0</v>
      </c>
    </row>
    <row r="5" spans="1:6" ht="15.6" x14ac:dyDescent="0.3">
      <c r="A5" s="1">
        <v>45932.125347222223</v>
      </c>
      <c r="B5">
        <f>--(SUMPRODUCT((Data!$C$2:$C$53="K12C")*((Data!$A$2:$A$53 - Settings!$B$4/24) &lt;= A5)*((Data!$B$2:$B$53 + Settings!$B$4/24) &gt; A5))&gt;0)</f>
        <v>0</v>
      </c>
      <c r="C5">
        <f>--(SUMPRODUCT((Data!$C$2:$C$53="K12A")*((Data!$A$2:$A$53 - Settings!$B$4/24) &lt;= A5)*((Data!$B$2:$B$53 + Settings!$B$4/24) &gt; A5))&gt;0)</f>
        <v>0</v>
      </c>
      <c r="D5">
        <f>--(SUMPRODUCT((Data!$C$2:$C$53="K12")*((Data!$A$2:$A$53 - Settings!$B$4/24) &lt;= A5)*((Data!$B$2:$B$53 + Settings!$B$4/24) &gt; A5))&gt;0)</f>
        <v>0</v>
      </c>
      <c r="E5">
        <f>--(SUMPRODUCT((Data!$C$2:$C$53="K12B")*((Data!$A$2:$A$53 - Settings!$B$4/24) &lt;= A5)*((Data!$B$2:$B$53 + Settings!$B$4/24) &gt; A5))&gt;0)</f>
        <v>0</v>
      </c>
      <c r="F5">
        <f>--(SUMPRODUCT((Data!$C$2:$C$53="TT2")*((Data!$A$2:$A$53 - Settings!$B$4/24) &lt;= A5)*((Data!$B$2:$B$53 + Settings!$B$4/24) &gt; A5))&gt;0)</f>
        <v>0</v>
      </c>
    </row>
    <row r="6" spans="1:6" ht="15.6" x14ac:dyDescent="0.3">
      <c r="A6" s="1">
        <v>45932.167013888888</v>
      </c>
      <c r="B6">
        <f>--(SUMPRODUCT((Data!$C$2:$C$53="K12C")*((Data!$A$2:$A$53 - Settings!$B$4/24) &lt;= A6)*((Data!$B$2:$B$53 + Settings!$B$4/24) &gt; A6))&gt;0)</f>
        <v>0</v>
      </c>
      <c r="C6">
        <f>--(SUMPRODUCT((Data!$C$2:$C$53="K12A")*((Data!$A$2:$A$53 - Settings!$B$4/24) &lt;= A6)*((Data!$B$2:$B$53 + Settings!$B$4/24) &gt; A6))&gt;0)</f>
        <v>0</v>
      </c>
      <c r="D6">
        <f>--(SUMPRODUCT((Data!$C$2:$C$53="K12")*((Data!$A$2:$A$53 - Settings!$B$4/24) &lt;= A6)*((Data!$B$2:$B$53 + Settings!$B$4/24) &gt; A6))&gt;0)</f>
        <v>0</v>
      </c>
      <c r="E6">
        <f>--(SUMPRODUCT((Data!$C$2:$C$53="K12B")*((Data!$A$2:$A$53 - Settings!$B$4/24) &lt;= A6)*((Data!$B$2:$B$53 + Settings!$B$4/24) &gt; A6))&gt;0)</f>
        <v>0</v>
      </c>
      <c r="F6">
        <f>--(SUMPRODUCT((Data!$C$2:$C$53="TT2")*((Data!$A$2:$A$53 - Settings!$B$4/24) &lt;= A6)*((Data!$B$2:$B$53 + Settings!$B$4/24) &gt; A6))&gt;0)</f>
        <v>0</v>
      </c>
    </row>
    <row r="7" spans="1:6" ht="15.6" x14ac:dyDescent="0.3">
      <c r="A7" s="1">
        <v>45932.208680555559</v>
      </c>
      <c r="B7">
        <f>--(SUMPRODUCT((Data!$C$2:$C$53="K12C")*((Data!$A$2:$A$53 - Settings!$B$4/24) &lt;= A7)*((Data!$B$2:$B$53 + Settings!$B$4/24) &gt; A7))&gt;0)</f>
        <v>0</v>
      </c>
      <c r="C7">
        <f>--(SUMPRODUCT((Data!$C$2:$C$53="K12A")*((Data!$A$2:$A$53 - Settings!$B$4/24) &lt;= A7)*((Data!$B$2:$B$53 + Settings!$B$4/24) &gt; A7))&gt;0)</f>
        <v>0</v>
      </c>
      <c r="D7">
        <f>--(SUMPRODUCT((Data!$C$2:$C$53="K12")*((Data!$A$2:$A$53 - Settings!$B$4/24) &lt;= A7)*((Data!$B$2:$B$53 + Settings!$B$4/24) &gt; A7))&gt;0)</f>
        <v>0</v>
      </c>
      <c r="E7">
        <f>--(SUMPRODUCT((Data!$C$2:$C$53="K12B")*((Data!$A$2:$A$53 - Settings!$B$4/24) &lt;= A7)*((Data!$B$2:$B$53 + Settings!$B$4/24) &gt; A7))&gt;0)</f>
        <v>0</v>
      </c>
      <c r="F7">
        <f>--(SUMPRODUCT((Data!$C$2:$C$53="TT2")*((Data!$A$2:$A$53 - Settings!$B$4/24) &lt;= A7)*((Data!$B$2:$B$53 + Settings!$B$4/24) &gt; A7))&gt;0)</f>
        <v>0</v>
      </c>
    </row>
    <row r="8" spans="1:6" ht="15.6" x14ac:dyDescent="0.3">
      <c r="A8" s="1">
        <v>45932.250347222223</v>
      </c>
      <c r="B8">
        <f>--(SUMPRODUCT((Data!$C$2:$C$53="K12C")*((Data!$A$2:$A$53 - Settings!$B$4/24) &lt;= A8)*((Data!$B$2:$B$53 + Settings!$B$4/24) &gt; A8))&gt;0)</f>
        <v>0</v>
      </c>
      <c r="C8">
        <f>--(SUMPRODUCT((Data!$C$2:$C$53="K12A")*((Data!$A$2:$A$53 - Settings!$B$4/24) &lt;= A8)*((Data!$B$2:$B$53 + Settings!$B$4/24) &gt; A8))&gt;0)</f>
        <v>0</v>
      </c>
      <c r="D8">
        <f>--(SUMPRODUCT((Data!$C$2:$C$53="K12")*((Data!$A$2:$A$53 - Settings!$B$4/24) &lt;= A8)*((Data!$B$2:$B$53 + Settings!$B$4/24) &gt; A8))&gt;0)</f>
        <v>1</v>
      </c>
      <c r="E8">
        <f>--(SUMPRODUCT((Data!$C$2:$C$53="K12B")*((Data!$A$2:$A$53 - Settings!$B$4/24) &lt;= A8)*((Data!$B$2:$B$53 + Settings!$B$4/24) &gt; A8))&gt;0)</f>
        <v>1</v>
      </c>
      <c r="F8">
        <f>--(SUMPRODUCT((Data!$C$2:$C$53="TT2")*((Data!$A$2:$A$53 - Settings!$B$4/24) &lt;= A8)*((Data!$B$2:$B$53 + Settings!$B$4/24) &gt; A8))&gt;0)</f>
        <v>0</v>
      </c>
    </row>
    <row r="9" spans="1:6" ht="15.6" x14ac:dyDescent="0.3">
      <c r="A9" s="1">
        <v>45932.292013888888</v>
      </c>
      <c r="B9">
        <f>--(SUMPRODUCT((Data!$C$2:$C$53="K12C")*((Data!$A$2:$A$53 - Settings!$B$4/24) &lt;= A9)*((Data!$B$2:$B$53 + Settings!$B$4/24) &gt; A9))&gt;0)</f>
        <v>0</v>
      </c>
      <c r="C9">
        <f>--(SUMPRODUCT((Data!$C$2:$C$53="K12A")*((Data!$A$2:$A$53 - Settings!$B$4/24) &lt;= A9)*((Data!$B$2:$B$53 + Settings!$B$4/24) &gt; A9))&gt;0)</f>
        <v>0</v>
      </c>
      <c r="D9">
        <f>--(SUMPRODUCT((Data!$C$2:$C$53="K12")*((Data!$A$2:$A$53 - Settings!$B$4/24) &lt;= A9)*((Data!$B$2:$B$53 + Settings!$B$4/24) &gt; A9))&gt;0)</f>
        <v>1</v>
      </c>
      <c r="E9">
        <f>--(SUMPRODUCT((Data!$C$2:$C$53="K12B")*((Data!$A$2:$A$53 - Settings!$B$4/24) &lt;= A9)*((Data!$B$2:$B$53 + Settings!$B$4/24) &gt; A9))&gt;0)</f>
        <v>1</v>
      </c>
      <c r="F9">
        <f>--(SUMPRODUCT((Data!$C$2:$C$53="TT2")*((Data!$A$2:$A$53 - Settings!$B$4/24) &lt;= A9)*((Data!$B$2:$B$53 + Settings!$B$4/24) &gt; A9))&gt;0)</f>
        <v>0</v>
      </c>
    </row>
    <row r="10" spans="1:6" ht="15.6" x14ac:dyDescent="0.3">
      <c r="A10" s="1">
        <v>45932.333680555559</v>
      </c>
      <c r="B10">
        <f>--(SUMPRODUCT((Data!$C$2:$C$53="K12C")*((Data!$A$2:$A$53 - Settings!$B$4/24) &lt;= A10)*((Data!$B$2:$B$53 + Settings!$B$4/24) &gt; A10))&gt;0)</f>
        <v>0</v>
      </c>
      <c r="C10">
        <f>--(SUMPRODUCT((Data!$C$2:$C$53="K12A")*((Data!$A$2:$A$53 - Settings!$B$4/24) &lt;= A10)*((Data!$B$2:$B$53 + Settings!$B$4/24) &gt; A10))&gt;0)</f>
        <v>0</v>
      </c>
      <c r="D10">
        <f>--(SUMPRODUCT((Data!$C$2:$C$53="K12")*((Data!$A$2:$A$53 - Settings!$B$4/24) &lt;= A10)*((Data!$B$2:$B$53 + Settings!$B$4/24) &gt; A10))&gt;0)</f>
        <v>1</v>
      </c>
      <c r="E10">
        <f>--(SUMPRODUCT((Data!$C$2:$C$53="K12B")*((Data!$A$2:$A$53 - Settings!$B$4/24) &lt;= A10)*((Data!$B$2:$B$53 + Settings!$B$4/24) &gt; A10))&gt;0)</f>
        <v>1</v>
      </c>
      <c r="F10">
        <f>--(SUMPRODUCT((Data!$C$2:$C$53="TT2")*((Data!$A$2:$A$53 - Settings!$B$4/24) &lt;= A10)*((Data!$B$2:$B$53 + Settings!$B$4/24) &gt; A10))&gt;0)</f>
        <v>0</v>
      </c>
    </row>
    <row r="11" spans="1:6" ht="15.6" x14ac:dyDescent="0.3">
      <c r="A11" s="1">
        <v>45932.375347222223</v>
      </c>
      <c r="B11">
        <f>--(SUMPRODUCT((Data!$C$2:$C$53="K12C")*((Data!$A$2:$A$53 - Settings!$B$4/24) &lt;= A11)*((Data!$B$2:$B$53 + Settings!$B$4/24) &gt; A11))&gt;0)</f>
        <v>0</v>
      </c>
      <c r="C11">
        <f>--(SUMPRODUCT((Data!$C$2:$C$53="K12A")*((Data!$A$2:$A$53 - Settings!$B$4/24) &lt;= A11)*((Data!$B$2:$B$53 + Settings!$B$4/24) &gt; A11))&gt;0)</f>
        <v>0</v>
      </c>
      <c r="D11">
        <f>--(SUMPRODUCT((Data!$C$2:$C$53="K12")*((Data!$A$2:$A$53 - Settings!$B$4/24) &lt;= A11)*((Data!$B$2:$B$53 + Settings!$B$4/24) &gt; A11))&gt;0)</f>
        <v>1</v>
      </c>
      <c r="E11">
        <f>--(SUMPRODUCT((Data!$C$2:$C$53="K12B")*((Data!$A$2:$A$53 - Settings!$B$4/24) &lt;= A11)*((Data!$B$2:$B$53 + Settings!$B$4/24) &gt; A11))&gt;0)</f>
        <v>1</v>
      </c>
      <c r="F11">
        <f>--(SUMPRODUCT((Data!$C$2:$C$53="TT2")*((Data!$A$2:$A$53 - Settings!$B$4/24) &lt;= A11)*((Data!$B$2:$B$53 + Settings!$B$4/24) &gt; A11))&gt;0)</f>
        <v>0</v>
      </c>
    </row>
    <row r="12" spans="1:6" ht="15.6" x14ac:dyDescent="0.3">
      <c r="A12" s="1">
        <v>45932.417013888888</v>
      </c>
      <c r="B12">
        <f>--(SUMPRODUCT((Data!$C$2:$C$53="K12C")*((Data!$A$2:$A$53 - Settings!$B$4/24) &lt;= A12)*((Data!$B$2:$B$53 + Settings!$B$4/24) &gt; A12))&gt;0)</f>
        <v>0</v>
      </c>
      <c r="C12">
        <f>--(SUMPRODUCT((Data!$C$2:$C$53="K12A")*((Data!$A$2:$A$53 - Settings!$B$4/24) &lt;= A12)*((Data!$B$2:$B$53 + Settings!$B$4/24) &gt; A12))&gt;0)</f>
        <v>0</v>
      </c>
      <c r="D12">
        <f>--(SUMPRODUCT((Data!$C$2:$C$53="K12")*((Data!$A$2:$A$53 - Settings!$B$4/24) &lt;= A12)*((Data!$B$2:$B$53 + Settings!$B$4/24) &gt; A12))&gt;0)</f>
        <v>1</v>
      </c>
      <c r="E12">
        <f>--(SUMPRODUCT((Data!$C$2:$C$53="K12B")*((Data!$A$2:$A$53 - Settings!$B$4/24) &lt;= A12)*((Data!$B$2:$B$53 + Settings!$B$4/24) &gt; A12))&gt;0)</f>
        <v>1</v>
      </c>
      <c r="F12">
        <f>--(SUMPRODUCT((Data!$C$2:$C$53="TT2")*((Data!$A$2:$A$53 - Settings!$B$4/24) &lt;= A12)*((Data!$B$2:$B$53 + Settings!$B$4/24) &gt; A12))&gt;0)</f>
        <v>0</v>
      </c>
    </row>
    <row r="13" spans="1:6" ht="15.6" x14ac:dyDescent="0.3">
      <c r="A13" s="1">
        <v>45932.458680555559</v>
      </c>
      <c r="B13">
        <f>--(SUMPRODUCT((Data!$C$2:$C$53="K12C")*((Data!$A$2:$A$53 - Settings!$B$4/24) &lt;= A13)*((Data!$B$2:$B$53 + Settings!$B$4/24) &gt; A13))&gt;0)</f>
        <v>0</v>
      </c>
      <c r="C13">
        <f>--(SUMPRODUCT((Data!$C$2:$C$53="K12A")*((Data!$A$2:$A$53 - Settings!$B$4/24) &lt;= A13)*((Data!$B$2:$B$53 + Settings!$B$4/24) &gt; A13))&gt;0)</f>
        <v>0</v>
      </c>
      <c r="D13">
        <f>--(SUMPRODUCT((Data!$C$2:$C$53="K12")*((Data!$A$2:$A$53 - Settings!$B$4/24) &lt;= A13)*((Data!$B$2:$B$53 + Settings!$B$4/24) &gt; A13))&gt;0)</f>
        <v>1</v>
      </c>
      <c r="E13">
        <f>--(SUMPRODUCT((Data!$C$2:$C$53="K12B")*((Data!$A$2:$A$53 - Settings!$B$4/24) &lt;= A13)*((Data!$B$2:$B$53 + Settings!$B$4/24) &gt; A13))&gt;0)</f>
        <v>1</v>
      </c>
      <c r="F13">
        <f>--(SUMPRODUCT((Data!$C$2:$C$53="TT2")*((Data!$A$2:$A$53 - Settings!$B$4/24) &lt;= A13)*((Data!$B$2:$B$53 + Settings!$B$4/24) &gt; A13))&gt;0)</f>
        <v>0</v>
      </c>
    </row>
    <row r="14" spans="1:6" ht="15.6" x14ac:dyDescent="0.3">
      <c r="A14" s="1">
        <v>45932.500347222223</v>
      </c>
      <c r="B14">
        <f>--(SUMPRODUCT((Data!$C$2:$C$53="K12C")*((Data!$A$2:$A$53 - Settings!$B$4/24) &lt;= A14)*((Data!$B$2:$B$53 + Settings!$B$4/24) &gt; A14))&gt;0)</f>
        <v>0</v>
      </c>
      <c r="C14">
        <f>--(SUMPRODUCT((Data!$C$2:$C$53="K12A")*((Data!$A$2:$A$53 - Settings!$B$4/24) &lt;= A14)*((Data!$B$2:$B$53 + Settings!$B$4/24) &gt; A14))&gt;0)</f>
        <v>0</v>
      </c>
      <c r="D14">
        <f>--(SUMPRODUCT((Data!$C$2:$C$53="K12")*((Data!$A$2:$A$53 - Settings!$B$4/24) &lt;= A14)*((Data!$B$2:$B$53 + Settings!$B$4/24) &gt; A14))&gt;0)</f>
        <v>1</v>
      </c>
      <c r="E14">
        <f>--(SUMPRODUCT((Data!$C$2:$C$53="K12B")*((Data!$A$2:$A$53 - Settings!$B$4/24) &lt;= A14)*((Data!$B$2:$B$53 + Settings!$B$4/24) &gt; A14))&gt;0)</f>
        <v>1</v>
      </c>
      <c r="F14">
        <f>--(SUMPRODUCT((Data!$C$2:$C$53="TT2")*((Data!$A$2:$A$53 - Settings!$B$4/24) &lt;= A14)*((Data!$B$2:$B$53 + Settings!$B$4/24) &gt; A14))&gt;0)</f>
        <v>0</v>
      </c>
    </row>
    <row r="15" spans="1:6" ht="15.6" x14ac:dyDescent="0.3">
      <c r="A15" s="1">
        <v>45932.542013888888</v>
      </c>
      <c r="B15">
        <f>--(SUMPRODUCT((Data!$C$2:$C$53="K12C")*((Data!$A$2:$A$53 - Settings!$B$4/24) &lt;= A15)*((Data!$B$2:$B$53 + Settings!$B$4/24) &gt; A15))&gt;0)</f>
        <v>0</v>
      </c>
      <c r="C15">
        <f>--(SUMPRODUCT((Data!$C$2:$C$53="K12A")*((Data!$A$2:$A$53 - Settings!$B$4/24) &lt;= A15)*((Data!$B$2:$B$53 + Settings!$B$4/24) &gt; A15))&gt;0)</f>
        <v>0</v>
      </c>
      <c r="D15">
        <f>--(SUMPRODUCT((Data!$C$2:$C$53="K12")*((Data!$A$2:$A$53 - Settings!$B$4/24) &lt;= A15)*((Data!$B$2:$B$53 + Settings!$B$4/24) &gt; A15))&gt;0)</f>
        <v>1</v>
      </c>
      <c r="E15">
        <f>--(SUMPRODUCT((Data!$C$2:$C$53="K12B")*((Data!$A$2:$A$53 - Settings!$B$4/24) &lt;= A15)*((Data!$B$2:$B$53 + Settings!$B$4/24) &gt; A15))&gt;0)</f>
        <v>1</v>
      </c>
      <c r="F15">
        <f>--(SUMPRODUCT((Data!$C$2:$C$53="TT2")*((Data!$A$2:$A$53 - Settings!$B$4/24) &lt;= A15)*((Data!$B$2:$B$53 + Settings!$B$4/24) &gt; A15))&gt;0)</f>
        <v>0</v>
      </c>
    </row>
    <row r="16" spans="1:6" ht="15.6" x14ac:dyDescent="0.3">
      <c r="A16" s="1">
        <v>45932.583680555559</v>
      </c>
      <c r="B16">
        <f>--(SUMPRODUCT((Data!$C$2:$C$53="K12C")*((Data!$A$2:$A$53 - Settings!$B$4/24) &lt;= A16)*((Data!$B$2:$B$53 + Settings!$B$4/24) &gt; A16))&gt;0)</f>
        <v>0</v>
      </c>
      <c r="C16">
        <f>--(SUMPRODUCT((Data!$C$2:$C$53="K12A")*((Data!$A$2:$A$53 - Settings!$B$4/24) &lt;= A16)*((Data!$B$2:$B$53 + Settings!$B$4/24) &gt; A16))&gt;0)</f>
        <v>0</v>
      </c>
      <c r="D16">
        <f>--(SUMPRODUCT((Data!$C$2:$C$53="K12")*((Data!$A$2:$A$53 - Settings!$B$4/24) &lt;= A16)*((Data!$B$2:$B$53 + Settings!$B$4/24) &gt; A16))&gt;0)</f>
        <v>1</v>
      </c>
      <c r="E16">
        <f>--(SUMPRODUCT((Data!$C$2:$C$53="K12B")*((Data!$A$2:$A$53 - Settings!$B$4/24) &lt;= A16)*((Data!$B$2:$B$53 + Settings!$B$4/24) &gt; A16))&gt;0)</f>
        <v>1</v>
      </c>
      <c r="F16">
        <f>--(SUMPRODUCT((Data!$C$2:$C$53="TT2")*((Data!$A$2:$A$53 - Settings!$B$4/24) &lt;= A16)*((Data!$B$2:$B$53 + Settings!$B$4/24) &gt; A16))&gt;0)</f>
        <v>0</v>
      </c>
    </row>
    <row r="17" spans="1:6" ht="15.6" x14ac:dyDescent="0.3">
      <c r="A17" s="1">
        <v>45932.625347222223</v>
      </c>
      <c r="B17">
        <f>--(SUMPRODUCT((Data!$C$2:$C$53="K12C")*((Data!$A$2:$A$53 - Settings!$B$4/24) &lt;= A17)*((Data!$B$2:$B$53 + Settings!$B$4/24) &gt; A17))&gt;0)</f>
        <v>0</v>
      </c>
      <c r="C17">
        <f>--(SUMPRODUCT((Data!$C$2:$C$53="K12A")*((Data!$A$2:$A$53 - Settings!$B$4/24) &lt;= A17)*((Data!$B$2:$B$53 + Settings!$B$4/24) &gt; A17))&gt;0)</f>
        <v>0</v>
      </c>
      <c r="D17">
        <f>--(SUMPRODUCT((Data!$C$2:$C$53="K12")*((Data!$A$2:$A$53 - Settings!$B$4/24) &lt;= A17)*((Data!$B$2:$B$53 + Settings!$B$4/24) &gt; A17))&gt;0)</f>
        <v>1</v>
      </c>
      <c r="E17">
        <f>--(SUMPRODUCT((Data!$C$2:$C$53="K12B")*((Data!$A$2:$A$53 - Settings!$B$4/24) &lt;= A17)*((Data!$B$2:$B$53 + Settings!$B$4/24) &gt; A17))&gt;0)</f>
        <v>1</v>
      </c>
      <c r="F17">
        <f>--(SUMPRODUCT((Data!$C$2:$C$53="TT2")*((Data!$A$2:$A$53 - Settings!$B$4/24) &lt;= A17)*((Data!$B$2:$B$53 + Settings!$B$4/24) &gt; A17))&gt;0)</f>
        <v>0</v>
      </c>
    </row>
    <row r="18" spans="1:6" ht="15.6" x14ac:dyDescent="0.3">
      <c r="A18" s="1">
        <v>45932.667013888888</v>
      </c>
      <c r="B18">
        <f>--(SUMPRODUCT((Data!$C$2:$C$53="K12C")*((Data!$A$2:$A$53 - Settings!$B$4/24) &lt;= A18)*((Data!$B$2:$B$53 + Settings!$B$4/24) &gt; A18))&gt;0)</f>
        <v>0</v>
      </c>
      <c r="C18">
        <f>--(SUMPRODUCT((Data!$C$2:$C$53="K12A")*((Data!$A$2:$A$53 - Settings!$B$4/24) &lt;= A18)*((Data!$B$2:$B$53 + Settings!$B$4/24) &gt; A18))&gt;0)</f>
        <v>0</v>
      </c>
      <c r="D18">
        <f>--(SUMPRODUCT((Data!$C$2:$C$53="K12")*((Data!$A$2:$A$53 - Settings!$B$4/24) &lt;= A18)*((Data!$B$2:$B$53 + Settings!$B$4/24) &gt; A18))&gt;0)</f>
        <v>1</v>
      </c>
      <c r="E18">
        <f>--(SUMPRODUCT((Data!$C$2:$C$53="K12B")*((Data!$A$2:$A$53 - Settings!$B$4/24) &lt;= A18)*((Data!$B$2:$B$53 + Settings!$B$4/24) &gt; A18))&gt;0)</f>
        <v>1</v>
      </c>
      <c r="F18">
        <f>--(SUMPRODUCT((Data!$C$2:$C$53="TT2")*((Data!$A$2:$A$53 - Settings!$B$4/24) &lt;= A18)*((Data!$B$2:$B$53 + Settings!$B$4/24) &gt; A18))&gt;0)</f>
        <v>0</v>
      </c>
    </row>
    <row r="19" spans="1:6" ht="15.6" x14ac:dyDescent="0.3">
      <c r="A19" s="1">
        <v>45932.708680555559</v>
      </c>
      <c r="B19">
        <f>--(SUMPRODUCT((Data!$C$2:$C$53="K12C")*((Data!$A$2:$A$53 - Settings!$B$4/24) &lt;= A19)*((Data!$B$2:$B$53 + Settings!$B$4/24) &gt; A19))&gt;0)</f>
        <v>0</v>
      </c>
      <c r="C19">
        <f>--(SUMPRODUCT((Data!$C$2:$C$53="K12A")*((Data!$A$2:$A$53 - Settings!$B$4/24) &lt;= A19)*((Data!$B$2:$B$53 + Settings!$B$4/24) &gt; A19))&gt;0)</f>
        <v>0</v>
      </c>
      <c r="D19">
        <f>--(SUMPRODUCT((Data!$C$2:$C$53="K12")*((Data!$A$2:$A$53 - Settings!$B$4/24) &lt;= A19)*((Data!$B$2:$B$53 + Settings!$B$4/24) &gt; A19))&gt;0)</f>
        <v>1</v>
      </c>
      <c r="E19">
        <f>--(SUMPRODUCT((Data!$C$2:$C$53="K12B")*((Data!$A$2:$A$53 - Settings!$B$4/24) &lt;= A19)*((Data!$B$2:$B$53 + Settings!$B$4/24) &gt; A19))&gt;0)</f>
        <v>1</v>
      </c>
      <c r="F19">
        <f>--(SUMPRODUCT((Data!$C$2:$C$53="TT2")*((Data!$A$2:$A$53 - Settings!$B$4/24) &lt;= A19)*((Data!$B$2:$B$53 + Settings!$B$4/24) &gt; A19))&gt;0)</f>
        <v>0</v>
      </c>
    </row>
    <row r="20" spans="1:6" ht="15.6" x14ac:dyDescent="0.3">
      <c r="A20" s="1">
        <v>45932.750347222223</v>
      </c>
      <c r="B20">
        <f>--(SUMPRODUCT((Data!$C$2:$C$53="K12C")*((Data!$A$2:$A$53 - Settings!$B$4/24) &lt;= A20)*((Data!$B$2:$B$53 + Settings!$B$4/24) &gt; A20))&gt;0)</f>
        <v>0</v>
      </c>
      <c r="C20">
        <f>--(SUMPRODUCT((Data!$C$2:$C$53="K12A")*((Data!$A$2:$A$53 - Settings!$B$4/24) &lt;= A20)*((Data!$B$2:$B$53 + Settings!$B$4/24) &gt; A20))&gt;0)</f>
        <v>0</v>
      </c>
      <c r="D20">
        <f>--(SUMPRODUCT((Data!$C$2:$C$53="K12")*((Data!$A$2:$A$53 - Settings!$B$4/24) &lt;= A20)*((Data!$B$2:$B$53 + Settings!$B$4/24) &gt; A20))&gt;0)</f>
        <v>1</v>
      </c>
      <c r="E20">
        <f>--(SUMPRODUCT((Data!$C$2:$C$53="K12B")*((Data!$A$2:$A$53 - Settings!$B$4/24) &lt;= A20)*((Data!$B$2:$B$53 + Settings!$B$4/24) &gt; A20))&gt;0)</f>
        <v>1</v>
      </c>
      <c r="F20">
        <f>--(SUMPRODUCT((Data!$C$2:$C$53="TT2")*((Data!$A$2:$A$53 - Settings!$B$4/24) &lt;= A20)*((Data!$B$2:$B$53 + Settings!$B$4/24) &gt; A20))&gt;0)</f>
        <v>0</v>
      </c>
    </row>
    <row r="21" spans="1:6" ht="15.6" x14ac:dyDescent="0.3">
      <c r="A21" s="1">
        <v>45932.792013888888</v>
      </c>
      <c r="B21">
        <f>--(SUMPRODUCT((Data!$C$2:$C$53="K12C")*((Data!$A$2:$A$53 - Settings!$B$4/24) &lt;= A21)*((Data!$B$2:$B$53 + Settings!$B$4/24) &gt; A21))&gt;0)</f>
        <v>0</v>
      </c>
      <c r="C21">
        <f>--(SUMPRODUCT((Data!$C$2:$C$53="K12A")*((Data!$A$2:$A$53 - Settings!$B$4/24) &lt;= A21)*((Data!$B$2:$B$53 + Settings!$B$4/24) &gt; A21))&gt;0)</f>
        <v>0</v>
      </c>
      <c r="D21">
        <f>--(SUMPRODUCT((Data!$C$2:$C$53="K12")*((Data!$A$2:$A$53 - Settings!$B$4/24) &lt;= A21)*((Data!$B$2:$B$53 + Settings!$B$4/24) &gt; A21))&gt;0)</f>
        <v>1</v>
      </c>
      <c r="E21">
        <f>--(SUMPRODUCT((Data!$C$2:$C$53="K12B")*((Data!$A$2:$A$53 - Settings!$B$4/24) &lt;= A21)*((Data!$B$2:$B$53 + Settings!$B$4/24) &gt; A21))&gt;0)</f>
        <v>1</v>
      </c>
      <c r="F21">
        <f>--(SUMPRODUCT((Data!$C$2:$C$53="TT2")*((Data!$A$2:$A$53 - Settings!$B$4/24) &lt;= A21)*((Data!$B$2:$B$53 + Settings!$B$4/24) &gt; A21))&gt;0)</f>
        <v>0</v>
      </c>
    </row>
    <row r="22" spans="1:6" ht="15.6" x14ac:dyDescent="0.3">
      <c r="A22" s="1">
        <v>45932.833680555559</v>
      </c>
      <c r="B22">
        <f>--(SUMPRODUCT((Data!$C$2:$C$53="K12C")*((Data!$A$2:$A$53 - Settings!$B$4/24) &lt;= A22)*((Data!$B$2:$B$53 + Settings!$B$4/24) &gt; A22))&gt;0)</f>
        <v>0</v>
      </c>
      <c r="C22">
        <f>--(SUMPRODUCT((Data!$C$2:$C$53="K12A")*((Data!$A$2:$A$53 - Settings!$B$4/24) &lt;= A22)*((Data!$B$2:$B$53 + Settings!$B$4/24) &gt; A22))&gt;0)</f>
        <v>1</v>
      </c>
      <c r="D22">
        <f>--(SUMPRODUCT((Data!$C$2:$C$53="K12")*((Data!$A$2:$A$53 - Settings!$B$4/24) &lt;= A22)*((Data!$B$2:$B$53 + Settings!$B$4/24) &gt; A22))&gt;0)</f>
        <v>1</v>
      </c>
      <c r="E22">
        <f>--(SUMPRODUCT((Data!$C$2:$C$53="K12B")*((Data!$A$2:$A$53 - Settings!$B$4/24) &lt;= A22)*((Data!$B$2:$B$53 + Settings!$B$4/24) &gt; A22))&gt;0)</f>
        <v>1</v>
      </c>
      <c r="F22">
        <f>--(SUMPRODUCT((Data!$C$2:$C$53="TT2")*((Data!$A$2:$A$53 - Settings!$B$4/24) &lt;= A22)*((Data!$B$2:$B$53 + Settings!$B$4/24) &gt; A22))&gt;0)</f>
        <v>0</v>
      </c>
    </row>
    <row r="23" spans="1:6" ht="15.6" x14ac:dyDescent="0.3">
      <c r="A23" s="1">
        <v>45932.875347222223</v>
      </c>
      <c r="B23">
        <f>--(SUMPRODUCT((Data!$C$2:$C$53="K12C")*((Data!$A$2:$A$53 - Settings!$B$4/24) &lt;= A23)*((Data!$B$2:$B$53 + Settings!$B$4/24) &gt; A23))&gt;0)</f>
        <v>0</v>
      </c>
      <c r="C23">
        <f>--(SUMPRODUCT((Data!$C$2:$C$53="K12A")*((Data!$A$2:$A$53 - Settings!$B$4/24) &lt;= A23)*((Data!$B$2:$B$53 + Settings!$B$4/24) &gt; A23))&gt;0)</f>
        <v>1</v>
      </c>
      <c r="D23">
        <f>--(SUMPRODUCT((Data!$C$2:$C$53="K12")*((Data!$A$2:$A$53 - Settings!$B$4/24) &lt;= A23)*((Data!$B$2:$B$53 + Settings!$B$4/24) &gt; A23))&gt;0)</f>
        <v>1</v>
      </c>
      <c r="E23">
        <f>--(SUMPRODUCT((Data!$C$2:$C$53="K12B")*((Data!$A$2:$A$53 - Settings!$B$4/24) &lt;= A23)*((Data!$B$2:$B$53 + Settings!$B$4/24) &gt; A23))&gt;0)</f>
        <v>1</v>
      </c>
      <c r="F23">
        <f>--(SUMPRODUCT((Data!$C$2:$C$53="TT2")*((Data!$A$2:$A$53 - Settings!$B$4/24) &lt;= A23)*((Data!$B$2:$B$53 + Settings!$B$4/24) &gt; A23))&gt;0)</f>
        <v>0</v>
      </c>
    </row>
    <row r="24" spans="1:6" ht="15.6" x14ac:dyDescent="0.3">
      <c r="A24" s="1">
        <v>45932.917013888888</v>
      </c>
      <c r="B24">
        <f>--(SUMPRODUCT((Data!$C$2:$C$53="K12C")*((Data!$A$2:$A$53 - Settings!$B$4/24) &lt;= A24)*((Data!$B$2:$B$53 + Settings!$B$4/24) &gt; A24))&gt;0)</f>
        <v>0</v>
      </c>
      <c r="C24">
        <f>--(SUMPRODUCT((Data!$C$2:$C$53="K12A")*((Data!$A$2:$A$53 - Settings!$B$4/24) &lt;= A24)*((Data!$B$2:$B$53 + Settings!$B$4/24) &gt; A24))&gt;0)</f>
        <v>1</v>
      </c>
      <c r="D24">
        <f>--(SUMPRODUCT((Data!$C$2:$C$53="K12")*((Data!$A$2:$A$53 - Settings!$B$4/24) &lt;= A24)*((Data!$B$2:$B$53 + Settings!$B$4/24) &gt; A24))&gt;0)</f>
        <v>1</v>
      </c>
      <c r="E24">
        <f>--(SUMPRODUCT((Data!$C$2:$C$53="K12B")*((Data!$A$2:$A$53 - Settings!$B$4/24) &lt;= A24)*((Data!$B$2:$B$53 + Settings!$B$4/24) &gt; A24))&gt;0)</f>
        <v>1</v>
      </c>
      <c r="F24">
        <f>--(SUMPRODUCT((Data!$C$2:$C$53="TT2")*((Data!$A$2:$A$53 - Settings!$B$4/24) &lt;= A24)*((Data!$B$2:$B$53 + Settings!$B$4/24) &gt; A24))&gt;0)</f>
        <v>0</v>
      </c>
    </row>
    <row r="25" spans="1:6" ht="15.6" x14ac:dyDescent="0.3">
      <c r="A25" s="1">
        <v>45932.958680555559</v>
      </c>
      <c r="B25">
        <f>--(SUMPRODUCT((Data!$C$2:$C$53="K12C")*((Data!$A$2:$A$53 - Settings!$B$4/24) &lt;= A25)*((Data!$B$2:$B$53 + Settings!$B$4/24) &gt; A25))&gt;0)</f>
        <v>0</v>
      </c>
      <c r="C25">
        <f>--(SUMPRODUCT((Data!$C$2:$C$53="K12A")*((Data!$A$2:$A$53 - Settings!$B$4/24) &lt;= A25)*((Data!$B$2:$B$53 + Settings!$B$4/24) &gt; A25))&gt;0)</f>
        <v>1</v>
      </c>
      <c r="D25">
        <f>--(SUMPRODUCT((Data!$C$2:$C$53="K12")*((Data!$A$2:$A$53 - Settings!$B$4/24) &lt;= A25)*((Data!$B$2:$B$53 + Settings!$B$4/24) &gt; A25))&gt;0)</f>
        <v>1</v>
      </c>
      <c r="E25">
        <f>--(SUMPRODUCT((Data!$C$2:$C$53="K12B")*((Data!$A$2:$A$53 - Settings!$B$4/24) &lt;= A25)*((Data!$B$2:$B$53 + Settings!$B$4/24) &gt; A25))&gt;0)</f>
        <v>0</v>
      </c>
      <c r="F25">
        <f>--(SUMPRODUCT((Data!$C$2:$C$53="TT2")*((Data!$A$2:$A$53 - Settings!$B$4/24) &lt;= A25)*((Data!$B$2:$B$53 + Settings!$B$4/24) &gt; A25))&gt;0)</f>
        <v>0</v>
      </c>
    </row>
    <row r="26" spans="1:6" ht="15.6" x14ac:dyDescent="0.3">
      <c r="A26" s="1">
        <v>45933.000347222223</v>
      </c>
      <c r="B26">
        <f>--(SUMPRODUCT((Data!$C$2:$C$53="K12C")*((Data!$A$2:$A$53 - Settings!$B$4/24) &lt;= A26)*((Data!$B$2:$B$53 + Settings!$B$4/24) &gt; A26))&gt;0)</f>
        <v>0</v>
      </c>
      <c r="C26">
        <f>--(SUMPRODUCT((Data!$C$2:$C$53="K12A")*((Data!$A$2:$A$53 - Settings!$B$4/24) &lt;= A26)*((Data!$B$2:$B$53 + Settings!$B$4/24) &gt; A26))&gt;0)</f>
        <v>1</v>
      </c>
      <c r="D26">
        <f>--(SUMPRODUCT((Data!$C$2:$C$53="K12")*((Data!$A$2:$A$53 - Settings!$B$4/24) &lt;= A26)*((Data!$B$2:$B$53 + Settings!$B$4/24) &gt; A26))&gt;0)</f>
        <v>1</v>
      </c>
      <c r="E26">
        <f>--(SUMPRODUCT((Data!$C$2:$C$53="K12B")*((Data!$A$2:$A$53 - Settings!$B$4/24) &lt;= A26)*((Data!$B$2:$B$53 + Settings!$B$4/24) &gt; A26))&gt;0)</f>
        <v>0</v>
      </c>
      <c r="F26">
        <f>--(SUMPRODUCT((Data!$C$2:$C$53="TT2")*((Data!$A$2:$A$53 - Settings!$B$4/24) &lt;= A26)*((Data!$B$2:$B$53 + Settings!$B$4/24) &gt; A26))&gt;0)</f>
        <v>0</v>
      </c>
    </row>
    <row r="27" spans="1:6" ht="15.6" x14ac:dyDescent="0.3">
      <c r="A27" s="1">
        <v>45933.042013888888</v>
      </c>
      <c r="B27">
        <f>--(SUMPRODUCT((Data!$C$2:$C$53="K12C")*((Data!$A$2:$A$53 - Settings!$B$4/24) &lt;= A27)*((Data!$B$2:$B$53 + Settings!$B$4/24) &gt; A27))&gt;0)</f>
        <v>0</v>
      </c>
      <c r="C27">
        <f>--(SUMPRODUCT((Data!$C$2:$C$53="K12A")*((Data!$A$2:$A$53 - Settings!$B$4/24) &lt;= A27)*((Data!$B$2:$B$53 + Settings!$B$4/24) &gt; A27))&gt;0)</f>
        <v>1</v>
      </c>
      <c r="D27">
        <f>--(SUMPRODUCT((Data!$C$2:$C$53="K12")*((Data!$A$2:$A$53 - Settings!$B$4/24) &lt;= A27)*((Data!$B$2:$B$53 + Settings!$B$4/24) &gt; A27))&gt;0)</f>
        <v>1</v>
      </c>
      <c r="E27">
        <f>--(SUMPRODUCT((Data!$C$2:$C$53="K12B")*((Data!$A$2:$A$53 - Settings!$B$4/24) &lt;= A27)*((Data!$B$2:$B$53 + Settings!$B$4/24) &gt; A27))&gt;0)</f>
        <v>0</v>
      </c>
      <c r="F27">
        <f>--(SUMPRODUCT((Data!$C$2:$C$53="TT2")*((Data!$A$2:$A$53 - Settings!$B$4/24) &lt;= A27)*((Data!$B$2:$B$53 + Settings!$B$4/24) &gt; A27))&gt;0)</f>
        <v>0</v>
      </c>
    </row>
    <row r="28" spans="1:6" ht="15.6" x14ac:dyDescent="0.3">
      <c r="A28" s="1">
        <v>45933.083680555559</v>
      </c>
      <c r="B28">
        <f>--(SUMPRODUCT((Data!$C$2:$C$53="K12C")*((Data!$A$2:$A$53 - Settings!$B$4/24) &lt;= A28)*((Data!$B$2:$B$53 + Settings!$B$4/24) &gt; A28))&gt;0)</f>
        <v>0</v>
      </c>
      <c r="C28">
        <f>--(SUMPRODUCT((Data!$C$2:$C$53="K12A")*((Data!$A$2:$A$53 - Settings!$B$4/24) &lt;= A28)*((Data!$B$2:$B$53 + Settings!$B$4/24) &gt; A28))&gt;0)</f>
        <v>1</v>
      </c>
      <c r="D28">
        <f>--(SUMPRODUCT((Data!$C$2:$C$53="K12")*((Data!$A$2:$A$53 - Settings!$B$4/24) &lt;= A28)*((Data!$B$2:$B$53 + Settings!$B$4/24) &gt; A28))&gt;0)</f>
        <v>1</v>
      </c>
      <c r="E28">
        <f>--(SUMPRODUCT((Data!$C$2:$C$53="K12B")*((Data!$A$2:$A$53 - Settings!$B$4/24) &lt;= A28)*((Data!$B$2:$B$53 + Settings!$B$4/24) &gt; A28))&gt;0)</f>
        <v>0</v>
      </c>
      <c r="F28">
        <f>--(SUMPRODUCT((Data!$C$2:$C$53="TT2")*((Data!$A$2:$A$53 - Settings!$B$4/24) &lt;= A28)*((Data!$B$2:$B$53 + Settings!$B$4/24) &gt; A28))&gt;0)</f>
        <v>0</v>
      </c>
    </row>
    <row r="29" spans="1:6" ht="15.6" x14ac:dyDescent="0.3">
      <c r="A29" s="1">
        <v>45933.125347222223</v>
      </c>
      <c r="B29">
        <f>--(SUMPRODUCT((Data!$C$2:$C$53="K12C")*((Data!$A$2:$A$53 - Settings!$B$4/24) &lt;= A29)*((Data!$B$2:$B$53 + Settings!$B$4/24) &gt; A29))&gt;0)</f>
        <v>0</v>
      </c>
      <c r="C29">
        <f>--(SUMPRODUCT((Data!$C$2:$C$53="K12A")*((Data!$A$2:$A$53 - Settings!$B$4/24) &lt;= A29)*((Data!$B$2:$B$53 + Settings!$B$4/24) &gt; A29))&gt;0)</f>
        <v>1</v>
      </c>
      <c r="D29">
        <f>--(SUMPRODUCT((Data!$C$2:$C$53="K12")*((Data!$A$2:$A$53 - Settings!$B$4/24) &lt;= A29)*((Data!$B$2:$B$53 + Settings!$B$4/24) &gt; A29))&gt;0)</f>
        <v>1</v>
      </c>
      <c r="E29">
        <f>--(SUMPRODUCT((Data!$C$2:$C$53="K12B")*((Data!$A$2:$A$53 - Settings!$B$4/24) &lt;= A29)*((Data!$B$2:$B$53 + Settings!$B$4/24) &gt; A29))&gt;0)</f>
        <v>0</v>
      </c>
      <c r="F29">
        <f>--(SUMPRODUCT((Data!$C$2:$C$53="TT2")*((Data!$A$2:$A$53 - Settings!$B$4/24) &lt;= A29)*((Data!$B$2:$B$53 + Settings!$B$4/24) &gt; A29))&gt;0)</f>
        <v>0</v>
      </c>
    </row>
    <row r="30" spans="1:6" ht="15.6" x14ac:dyDescent="0.3">
      <c r="A30" s="1">
        <v>45933.167013888888</v>
      </c>
      <c r="B30">
        <f>--(SUMPRODUCT((Data!$C$2:$C$53="K12C")*((Data!$A$2:$A$53 - Settings!$B$4/24) &lt;= A30)*((Data!$B$2:$B$53 + Settings!$B$4/24) &gt; A30))&gt;0)</f>
        <v>0</v>
      </c>
      <c r="C30">
        <f>--(SUMPRODUCT((Data!$C$2:$C$53="K12A")*((Data!$A$2:$A$53 - Settings!$B$4/24) &lt;= A30)*((Data!$B$2:$B$53 + Settings!$B$4/24) &gt; A30))&gt;0)</f>
        <v>1</v>
      </c>
      <c r="D30">
        <f>--(SUMPRODUCT((Data!$C$2:$C$53="K12")*((Data!$A$2:$A$53 - Settings!$B$4/24) &lt;= A30)*((Data!$B$2:$B$53 + Settings!$B$4/24) &gt; A30))&gt;0)</f>
        <v>1</v>
      </c>
      <c r="E30">
        <f>--(SUMPRODUCT((Data!$C$2:$C$53="K12B")*((Data!$A$2:$A$53 - Settings!$B$4/24) &lt;= A30)*((Data!$B$2:$B$53 + Settings!$B$4/24) &gt; A30))&gt;0)</f>
        <v>0</v>
      </c>
      <c r="F30">
        <f>--(SUMPRODUCT((Data!$C$2:$C$53="TT2")*((Data!$A$2:$A$53 - Settings!$B$4/24) &lt;= A30)*((Data!$B$2:$B$53 + Settings!$B$4/24) &gt; A30))&gt;0)</f>
        <v>0</v>
      </c>
    </row>
    <row r="31" spans="1:6" ht="15.6" x14ac:dyDescent="0.3">
      <c r="A31" s="1">
        <v>45933.208680555559</v>
      </c>
      <c r="B31">
        <f>--(SUMPRODUCT((Data!$C$2:$C$53="K12C")*((Data!$A$2:$A$53 - Settings!$B$4/24) &lt;= A31)*((Data!$B$2:$B$53 + Settings!$B$4/24) &gt; A31))&gt;0)</f>
        <v>0</v>
      </c>
      <c r="C31">
        <f>--(SUMPRODUCT((Data!$C$2:$C$53="K12A")*((Data!$A$2:$A$53 - Settings!$B$4/24) &lt;= A31)*((Data!$B$2:$B$53 + Settings!$B$4/24) &gt; A31))&gt;0)</f>
        <v>1</v>
      </c>
      <c r="D31">
        <f>--(SUMPRODUCT((Data!$C$2:$C$53="K12")*((Data!$A$2:$A$53 - Settings!$B$4/24) &lt;= A31)*((Data!$B$2:$B$53 + Settings!$B$4/24) &gt; A31))&gt;0)</f>
        <v>1</v>
      </c>
      <c r="E31">
        <f>--(SUMPRODUCT((Data!$C$2:$C$53="K12B")*((Data!$A$2:$A$53 - Settings!$B$4/24) &lt;= A31)*((Data!$B$2:$B$53 + Settings!$B$4/24) &gt; A31))&gt;0)</f>
        <v>0</v>
      </c>
      <c r="F31">
        <f>--(SUMPRODUCT((Data!$C$2:$C$53="TT2")*((Data!$A$2:$A$53 - Settings!$B$4/24) &lt;= A31)*((Data!$B$2:$B$53 + Settings!$B$4/24) &gt; A31))&gt;0)</f>
        <v>0</v>
      </c>
    </row>
    <row r="32" spans="1:6" ht="15.6" x14ac:dyDescent="0.3">
      <c r="A32" s="1">
        <v>45933.250347222223</v>
      </c>
      <c r="B32">
        <f>--(SUMPRODUCT((Data!$C$2:$C$53="K12C")*((Data!$A$2:$A$53 - Settings!$B$4/24) &lt;= A32)*((Data!$B$2:$B$53 + Settings!$B$4/24) &gt; A32))&gt;0)</f>
        <v>0</v>
      </c>
      <c r="C32">
        <f>--(SUMPRODUCT((Data!$C$2:$C$53="K12A")*((Data!$A$2:$A$53 - Settings!$B$4/24) &lt;= A32)*((Data!$B$2:$B$53 + Settings!$B$4/24) &gt; A32))&gt;0)</f>
        <v>1</v>
      </c>
      <c r="D32">
        <f>--(SUMPRODUCT((Data!$C$2:$C$53="K12")*((Data!$A$2:$A$53 - Settings!$B$4/24) &lt;= A32)*((Data!$B$2:$B$53 + Settings!$B$4/24) &gt; A32))&gt;0)</f>
        <v>1</v>
      </c>
      <c r="E32">
        <f>--(SUMPRODUCT((Data!$C$2:$C$53="K12B")*((Data!$A$2:$A$53 - Settings!$B$4/24) &lt;= A32)*((Data!$B$2:$B$53 + Settings!$B$4/24) &gt; A32))&gt;0)</f>
        <v>0</v>
      </c>
      <c r="F32">
        <f>--(SUMPRODUCT((Data!$C$2:$C$53="TT2")*((Data!$A$2:$A$53 - Settings!$B$4/24) &lt;= A32)*((Data!$B$2:$B$53 + Settings!$B$4/24) &gt; A32))&gt;0)</f>
        <v>0</v>
      </c>
    </row>
    <row r="33" spans="1:6" ht="15.6" x14ac:dyDescent="0.3">
      <c r="A33" s="1">
        <v>45933.292013888888</v>
      </c>
      <c r="B33">
        <f>--(SUMPRODUCT((Data!$C$2:$C$53="K12C")*((Data!$A$2:$A$53 - Settings!$B$4/24) &lt;= A33)*((Data!$B$2:$B$53 + Settings!$B$4/24) &gt; A33))&gt;0)</f>
        <v>0</v>
      </c>
      <c r="C33">
        <f>--(SUMPRODUCT((Data!$C$2:$C$53="K12A")*((Data!$A$2:$A$53 - Settings!$B$4/24) &lt;= A33)*((Data!$B$2:$B$53 + Settings!$B$4/24) &gt; A33))&gt;0)</f>
        <v>1</v>
      </c>
      <c r="D33">
        <f>--(SUMPRODUCT((Data!$C$2:$C$53="K12")*((Data!$A$2:$A$53 - Settings!$B$4/24) &lt;= A33)*((Data!$B$2:$B$53 + Settings!$B$4/24) &gt; A33))&gt;0)</f>
        <v>1</v>
      </c>
      <c r="E33">
        <f>--(SUMPRODUCT((Data!$C$2:$C$53="K12B")*((Data!$A$2:$A$53 - Settings!$B$4/24) &lt;= A33)*((Data!$B$2:$B$53 + Settings!$B$4/24) &gt; A33))&gt;0)</f>
        <v>0</v>
      </c>
      <c r="F33">
        <f>--(SUMPRODUCT((Data!$C$2:$C$53="TT2")*((Data!$A$2:$A$53 - Settings!$B$4/24) &lt;= A33)*((Data!$B$2:$B$53 + Settings!$B$4/24) &gt; A33))&gt;0)</f>
        <v>0</v>
      </c>
    </row>
    <row r="34" spans="1:6" ht="15.6" x14ac:dyDescent="0.3">
      <c r="A34" s="1">
        <v>45933.333680555559</v>
      </c>
      <c r="B34">
        <f>--(SUMPRODUCT((Data!$C$2:$C$53="K12C")*((Data!$A$2:$A$53 - Settings!$B$4/24) &lt;= A34)*((Data!$B$2:$B$53 + Settings!$B$4/24) &gt; A34))&gt;0)</f>
        <v>0</v>
      </c>
      <c r="C34">
        <f>--(SUMPRODUCT((Data!$C$2:$C$53="K12A")*((Data!$A$2:$A$53 - Settings!$B$4/24) &lt;= A34)*((Data!$B$2:$B$53 + Settings!$B$4/24) &gt; A34))&gt;0)</f>
        <v>1</v>
      </c>
      <c r="D34">
        <f>--(SUMPRODUCT((Data!$C$2:$C$53="K12")*((Data!$A$2:$A$53 - Settings!$B$4/24) &lt;= A34)*((Data!$B$2:$B$53 + Settings!$B$4/24) &gt; A34))&gt;0)</f>
        <v>0</v>
      </c>
      <c r="E34">
        <f>--(SUMPRODUCT((Data!$C$2:$C$53="K12B")*((Data!$A$2:$A$53 - Settings!$B$4/24) &lt;= A34)*((Data!$B$2:$B$53 + Settings!$B$4/24) &gt; A34))&gt;0)</f>
        <v>0</v>
      </c>
      <c r="F34">
        <f>--(SUMPRODUCT((Data!$C$2:$C$53="TT2")*((Data!$A$2:$A$53 - Settings!$B$4/24) &lt;= A34)*((Data!$B$2:$B$53 + Settings!$B$4/24) &gt; A34))&gt;0)</f>
        <v>0</v>
      </c>
    </row>
    <row r="35" spans="1:6" ht="15.6" x14ac:dyDescent="0.3">
      <c r="A35" s="1">
        <v>45933.375347222223</v>
      </c>
      <c r="B35">
        <f>--(SUMPRODUCT((Data!$C$2:$C$53="K12C")*((Data!$A$2:$A$53 - Settings!$B$4/24) &lt;= A35)*((Data!$B$2:$B$53 + Settings!$B$4/24) &gt; A35))&gt;0)</f>
        <v>0</v>
      </c>
      <c r="C35">
        <f>--(SUMPRODUCT((Data!$C$2:$C$53="K12A")*((Data!$A$2:$A$53 - Settings!$B$4/24) &lt;= A35)*((Data!$B$2:$B$53 + Settings!$B$4/24) &gt; A35))&gt;0)</f>
        <v>1</v>
      </c>
      <c r="D35">
        <f>--(SUMPRODUCT((Data!$C$2:$C$53="K12")*((Data!$A$2:$A$53 - Settings!$B$4/24) &lt;= A35)*((Data!$B$2:$B$53 + Settings!$B$4/24) &gt; A35))&gt;0)</f>
        <v>0</v>
      </c>
      <c r="E35">
        <f>--(SUMPRODUCT((Data!$C$2:$C$53="K12B")*((Data!$A$2:$A$53 - Settings!$B$4/24) &lt;= A35)*((Data!$B$2:$B$53 + Settings!$B$4/24) &gt; A35))&gt;0)</f>
        <v>0</v>
      </c>
      <c r="F35">
        <f>--(SUMPRODUCT((Data!$C$2:$C$53="TT2")*((Data!$A$2:$A$53 - Settings!$B$4/24) &lt;= A35)*((Data!$B$2:$B$53 + Settings!$B$4/24) &gt; A35))&gt;0)</f>
        <v>0</v>
      </c>
    </row>
    <row r="36" spans="1:6" ht="15.6" x14ac:dyDescent="0.3">
      <c r="A36" s="1">
        <v>45933.417013888888</v>
      </c>
      <c r="B36">
        <f>--(SUMPRODUCT((Data!$C$2:$C$53="K12C")*((Data!$A$2:$A$53 - Settings!$B$4/24) &lt;= A36)*((Data!$B$2:$B$53 + Settings!$B$4/24) &gt; A36))&gt;0)</f>
        <v>0</v>
      </c>
      <c r="C36">
        <f>--(SUMPRODUCT((Data!$C$2:$C$53="K12A")*((Data!$A$2:$A$53 - Settings!$B$4/24) &lt;= A36)*((Data!$B$2:$B$53 + Settings!$B$4/24) &gt; A36))&gt;0)</f>
        <v>1</v>
      </c>
      <c r="D36">
        <f>--(SUMPRODUCT((Data!$C$2:$C$53="K12")*((Data!$A$2:$A$53 - Settings!$B$4/24) &lt;= A36)*((Data!$B$2:$B$53 + Settings!$B$4/24) &gt; A36))&gt;0)</f>
        <v>0</v>
      </c>
      <c r="E36">
        <f>--(SUMPRODUCT((Data!$C$2:$C$53="K12B")*((Data!$A$2:$A$53 - Settings!$B$4/24) &lt;= A36)*((Data!$B$2:$B$53 + Settings!$B$4/24) &gt; A36))&gt;0)</f>
        <v>0</v>
      </c>
      <c r="F36">
        <f>--(SUMPRODUCT((Data!$C$2:$C$53="TT2")*((Data!$A$2:$A$53 - Settings!$B$4/24) &lt;= A36)*((Data!$B$2:$B$53 + Settings!$B$4/24) &gt; A36))&gt;0)</f>
        <v>0</v>
      </c>
    </row>
    <row r="37" spans="1:6" ht="15.6" x14ac:dyDescent="0.3">
      <c r="A37" s="1">
        <v>45933.458680555559</v>
      </c>
      <c r="B37">
        <f>--(SUMPRODUCT((Data!$C$2:$C$53="K12C")*((Data!$A$2:$A$53 - Settings!$B$4/24) &lt;= A37)*((Data!$B$2:$B$53 + Settings!$B$4/24) &gt; A37))&gt;0)</f>
        <v>0</v>
      </c>
      <c r="C37">
        <f>--(SUMPRODUCT((Data!$C$2:$C$53="K12A")*((Data!$A$2:$A$53 - Settings!$B$4/24) &lt;= A37)*((Data!$B$2:$B$53 + Settings!$B$4/24) &gt; A37))&gt;0)</f>
        <v>1</v>
      </c>
      <c r="D37">
        <f>--(SUMPRODUCT((Data!$C$2:$C$53="K12")*((Data!$A$2:$A$53 - Settings!$B$4/24) &lt;= A37)*((Data!$B$2:$B$53 + Settings!$B$4/24) &gt; A37))&gt;0)</f>
        <v>0</v>
      </c>
      <c r="E37">
        <f>--(SUMPRODUCT((Data!$C$2:$C$53="K12B")*((Data!$A$2:$A$53 - Settings!$B$4/24) &lt;= A37)*((Data!$B$2:$B$53 + Settings!$B$4/24) &gt; A37))&gt;0)</f>
        <v>0</v>
      </c>
      <c r="F37">
        <f>--(SUMPRODUCT((Data!$C$2:$C$53="TT2")*((Data!$A$2:$A$53 - Settings!$B$4/24) &lt;= A37)*((Data!$B$2:$B$53 + Settings!$B$4/24) &gt; A37))&gt;0)</f>
        <v>0</v>
      </c>
    </row>
    <row r="38" spans="1:6" ht="15.6" x14ac:dyDescent="0.3">
      <c r="A38" s="1">
        <v>45933.500347222223</v>
      </c>
      <c r="B38">
        <f>--(SUMPRODUCT((Data!$C$2:$C$53="K12C")*((Data!$A$2:$A$53 - Settings!$B$4/24) &lt;= A38)*((Data!$B$2:$B$53 + Settings!$B$4/24) &gt; A38))&gt;0)</f>
        <v>0</v>
      </c>
      <c r="C38">
        <f>--(SUMPRODUCT((Data!$C$2:$C$53="K12A")*((Data!$A$2:$A$53 - Settings!$B$4/24) &lt;= A38)*((Data!$B$2:$B$53 + Settings!$B$4/24) &gt; A38))&gt;0)</f>
        <v>1</v>
      </c>
      <c r="D38">
        <f>--(SUMPRODUCT((Data!$C$2:$C$53="K12")*((Data!$A$2:$A$53 - Settings!$B$4/24) &lt;= A38)*((Data!$B$2:$B$53 + Settings!$B$4/24) &gt; A38))&gt;0)</f>
        <v>0</v>
      </c>
      <c r="E38">
        <f>--(SUMPRODUCT((Data!$C$2:$C$53="K12B")*((Data!$A$2:$A$53 - Settings!$B$4/24) &lt;= A38)*((Data!$B$2:$B$53 + Settings!$B$4/24) &gt; A38))&gt;0)</f>
        <v>0</v>
      </c>
      <c r="F38">
        <f>--(SUMPRODUCT((Data!$C$2:$C$53="TT2")*((Data!$A$2:$A$53 - Settings!$B$4/24) &lt;= A38)*((Data!$B$2:$B$53 + Settings!$B$4/24) &gt; A38))&gt;0)</f>
        <v>0</v>
      </c>
    </row>
    <row r="39" spans="1:6" ht="15.6" x14ac:dyDescent="0.3">
      <c r="A39" s="1">
        <v>45933.542013888888</v>
      </c>
      <c r="B39">
        <f>--(SUMPRODUCT((Data!$C$2:$C$53="K12C")*((Data!$A$2:$A$53 - Settings!$B$4/24) &lt;= A39)*((Data!$B$2:$B$53 + Settings!$B$4/24) &gt; A39))&gt;0)</f>
        <v>0</v>
      </c>
      <c r="C39">
        <f>--(SUMPRODUCT((Data!$C$2:$C$53="K12A")*((Data!$A$2:$A$53 - Settings!$B$4/24) &lt;= A39)*((Data!$B$2:$B$53 + Settings!$B$4/24) &gt; A39))&gt;0)</f>
        <v>1</v>
      </c>
      <c r="D39">
        <f>--(SUMPRODUCT((Data!$C$2:$C$53="K12")*((Data!$A$2:$A$53 - Settings!$B$4/24) &lt;= A39)*((Data!$B$2:$B$53 + Settings!$B$4/24) &gt; A39))&gt;0)</f>
        <v>0</v>
      </c>
      <c r="E39">
        <f>--(SUMPRODUCT((Data!$C$2:$C$53="K12B")*((Data!$A$2:$A$53 - Settings!$B$4/24) &lt;= A39)*((Data!$B$2:$B$53 + Settings!$B$4/24) &gt; A39))&gt;0)</f>
        <v>0</v>
      </c>
      <c r="F39">
        <f>--(SUMPRODUCT((Data!$C$2:$C$53="TT2")*((Data!$A$2:$A$53 - Settings!$B$4/24) &lt;= A39)*((Data!$B$2:$B$53 + Settings!$B$4/24) &gt; A39))&gt;0)</f>
        <v>0</v>
      </c>
    </row>
    <row r="40" spans="1:6" ht="15.6" x14ac:dyDescent="0.3">
      <c r="A40" s="1">
        <v>45933.583680555559</v>
      </c>
      <c r="B40">
        <f>--(SUMPRODUCT((Data!$C$2:$C$53="K12C")*((Data!$A$2:$A$53 - Settings!$B$4/24) &lt;= A40)*((Data!$B$2:$B$53 + Settings!$B$4/24) &gt; A40))&gt;0)</f>
        <v>0</v>
      </c>
      <c r="C40">
        <f>--(SUMPRODUCT((Data!$C$2:$C$53="K12A")*((Data!$A$2:$A$53 - Settings!$B$4/24) &lt;= A40)*((Data!$B$2:$B$53 + Settings!$B$4/24) &gt; A40))&gt;0)</f>
        <v>1</v>
      </c>
      <c r="D40">
        <f>--(SUMPRODUCT((Data!$C$2:$C$53="K12")*((Data!$A$2:$A$53 - Settings!$B$4/24) &lt;= A40)*((Data!$B$2:$B$53 + Settings!$B$4/24) &gt; A40))&gt;0)</f>
        <v>0</v>
      </c>
      <c r="E40">
        <f>--(SUMPRODUCT((Data!$C$2:$C$53="K12B")*((Data!$A$2:$A$53 - Settings!$B$4/24) &lt;= A40)*((Data!$B$2:$B$53 + Settings!$B$4/24) &gt; A40))&gt;0)</f>
        <v>0</v>
      </c>
      <c r="F40">
        <f>--(SUMPRODUCT((Data!$C$2:$C$53="TT2")*((Data!$A$2:$A$53 - Settings!$B$4/24) &lt;= A40)*((Data!$B$2:$B$53 + Settings!$B$4/24) &gt; A40))&gt;0)</f>
        <v>0</v>
      </c>
    </row>
    <row r="41" spans="1:6" ht="15.6" x14ac:dyDescent="0.3">
      <c r="A41" s="1">
        <v>45933.625347222223</v>
      </c>
      <c r="B41">
        <f>--(SUMPRODUCT((Data!$C$2:$C$53="K12C")*((Data!$A$2:$A$53 - Settings!$B$4/24) &lt;= A41)*((Data!$B$2:$B$53 + Settings!$B$4/24) &gt; A41))&gt;0)</f>
        <v>0</v>
      </c>
      <c r="C41">
        <f>--(SUMPRODUCT((Data!$C$2:$C$53="K12A")*((Data!$A$2:$A$53 - Settings!$B$4/24) &lt;= A41)*((Data!$B$2:$B$53 + Settings!$B$4/24) &gt; A41))&gt;0)</f>
        <v>1</v>
      </c>
      <c r="D41">
        <f>--(SUMPRODUCT((Data!$C$2:$C$53="K12")*((Data!$A$2:$A$53 - Settings!$B$4/24) &lt;= A41)*((Data!$B$2:$B$53 + Settings!$B$4/24) &gt; A41))&gt;0)</f>
        <v>0</v>
      </c>
      <c r="E41">
        <f>--(SUMPRODUCT((Data!$C$2:$C$53="K12B")*((Data!$A$2:$A$53 - Settings!$B$4/24) &lt;= A41)*((Data!$B$2:$B$53 + Settings!$B$4/24) &gt; A41))&gt;0)</f>
        <v>0</v>
      </c>
      <c r="F41">
        <f>--(SUMPRODUCT((Data!$C$2:$C$53="TT2")*((Data!$A$2:$A$53 - Settings!$B$4/24) &lt;= A41)*((Data!$B$2:$B$53 + Settings!$B$4/24) &gt; A41))&gt;0)</f>
        <v>0</v>
      </c>
    </row>
    <row r="42" spans="1:6" ht="15.6" x14ac:dyDescent="0.3">
      <c r="A42" s="1">
        <v>45933.667013888888</v>
      </c>
      <c r="B42">
        <f>--(SUMPRODUCT((Data!$C$2:$C$53="K12C")*((Data!$A$2:$A$53 - Settings!$B$4/24) &lt;= A42)*((Data!$B$2:$B$53 + Settings!$B$4/24) &gt; A42))&gt;0)</f>
        <v>0</v>
      </c>
      <c r="C42">
        <f>--(SUMPRODUCT((Data!$C$2:$C$53="K12A")*((Data!$A$2:$A$53 - Settings!$B$4/24) &lt;= A42)*((Data!$B$2:$B$53 + Settings!$B$4/24) &gt; A42))&gt;0)</f>
        <v>1</v>
      </c>
      <c r="D42">
        <f>--(SUMPRODUCT((Data!$C$2:$C$53="K12")*((Data!$A$2:$A$53 - Settings!$B$4/24) &lt;= A42)*((Data!$B$2:$B$53 + Settings!$B$4/24) &gt; A42))&gt;0)</f>
        <v>0</v>
      </c>
      <c r="E42">
        <f>--(SUMPRODUCT((Data!$C$2:$C$53="K12B")*((Data!$A$2:$A$53 - Settings!$B$4/24) &lt;= A42)*((Data!$B$2:$B$53 + Settings!$B$4/24) &gt; A42))&gt;0)</f>
        <v>0</v>
      </c>
      <c r="F42">
        <f>--(SUMPRODUCT((Data!$C$2:$C$53="TT2")*((Data!$A$2:$A$53 - Settings!$B$4/24) &lt;= A42)*((Data!$B$2:$B$53 + Settings!$B$4/24) &gt; A42))&gt;0)</f>
        <v>0</v>
      </c>
    </row>
    <row r="43" spans="1:6" ht="15.6" x14ac:dyDescent="0.3">
      <c r="A43" s="1">
        <v>45933.708680555559</v>
      </c>
      <c r="B43">
        <f>--(SUMPRODUCT((Data!$C$2:$C$53="K12C")*((Data!$A$2:$A$53 - Settings!$B$4/24) &lt;= A43)*((Data!$B$2:$B$53 + Settings!$B$4/24) &gt; A43))&gt;0)</f>
        <v>0</v>
      </c>
      <c r="C43">
        <f>--(SUMPRODUCT((Data!$C$2:$C$53="K12A")*((Data!$A$2:$A$53 - Settings!$B$4/24) &lt;= A43)*((Data!$B$2:$B$53 + Settings!$B$4/24) &gt; A43))&gt;0)</f>
        <v>1</v>
      </c>
      <c r="D43">
        <f>--(SUMPRODUCT((Data!$C$2:$C$53="K12")*((Data!$A$2:$A$53 - Settings!$B$4/24) &lt;= A43)*((Data!$B$2:$B$53 + Settings!$B$4/24) &gt; A43))&gt;0)</f>
        <v>0</v>
      </c>
      <c r="E43">
        <f>--(SUMPRODUCT((Data!$C$2:$C$53="K12B")*((Data!$A$2:$A$53 - Settings!$B$4/24) &lt;= A43)*((Data!$B$2:$B$53 + Settings!$B$4/24) &gt; A43))&gt;0)</f>
        <v>0</v>
      </c>
      <c r="F43">
        <f>--(SUMPRODUCT((Data!$C$2:$C$53="TT2")*((Data!$A$2:$A$53 - Settings!$B$4/24) &lt;= A43)*((Data!$B$2:$B$53 + Settings!$B$4/24) &gt; A43))&gt;0)</f>
        <v>0</v>
      </c>
    </row>
    <row r="44" spans="1:6" ht="15.6" x14ac:dyDescent="0.3">
      <c r="A44" s="1">
        <v>45933.750347222223</v>
      </c>
      <c r="B44">
        <f>--(SUMPRODUCT((Data!$C$2:$C$53="K12C")*((Data!$A$2:$A$53 - Settings!$B$4/24) &lt;= A44)*((Data!$B$2:$B$53 + Settings!$B$4/24) &gt; A44))&gt;0)</f>
        <v>0</v>
      </c>
      <c r="C44">
        <f>--(SUMPRODUCT((Data!$C$2:$C$53="K12A")*((Data!$A$2:$A$53 - Settings!$B$4/24) &lt;= A44)*((Data!$B$2:$B$53 + Settings!$B$4/24) &gt; A44))&gt;0)</f>
        <v>1</v>
      </c>
      <c r="D44">
        <f>--(SUMPRODUCT((Data!$C$2:$C$53="K12")*((Data!$A$2:$A$53 - Settings!$B$4/24) &lt;= A44)*((Data!$B$2:$B$53 + Settings!$B$4/24) &gt; A44))&gt;0)</f>
        <v>0</v>
      </c>
      <c r="E44">
        <f>--(SUMPRODUCT((Data!$C$2:$C$53="K12B")*((Data!$A$2:$A$53 - Settings!$B$4/24) &lt;= A44)*((Data!$B$2:$B$53 + Settings!$B$4/24) &gt; A44))&gt;0)</f>
        <v>0</v>
      </c>
      <c r="F44">
        <f>--(SUMPRODUCT((Data!$C$2:$C$53="TT2")*((Data!$A$2:$A$53 - Settings!$B$4/24) &lt;= A44)*((Data!$B$2:$B$53 + Settings!$B$4/24) &gt; A44))&gt;0)</f>
        <v>0</v>
      </c>
    </row>
    <row r="45" spans="1:6" ht="15.6" x14ac:dyDescent="0.3">
      <c r="A45" s="1">
        <v>45933.792013888888</v>
      </c>
      <c r="B45">
        <f>--(SUMPRODUCT((Data!$C$2:$C$53="K12C")*((Data!$A$2:$A$53 - Settings!$B$4/24) &lt;= A45)*((Data!$B$2:$B$53 + Settings!$B$4/24) &gt; A45))&gt;0)</f>
        <v>0</v>
      </c>
      <c r="C45">
        <f>--(SUMPRODUCT((Data!$C$2:$C$53="K12A")*((Data!$A$2:$A$53 - Settings!$B$4/24) &lt;= A45)*((Data!$B$2:$B$53 + Settings!$B$4/24) &gt; A45))&gt;0)</f>
        <v>1</v>
      </c>
      <c r="D45">
        <f>--(SUMPRODUCT((Data!$C$2:$C$53="K12")*((Data!$A$2:$A$53 - Settings!$B$4/24) &lt;= A45)*((Data!$B$2:$B$53 + Settings!$B$4/24) &gt; A45))&gt;0)</f>
        <v>0</v>
      </c>
      <c r="E45">
        <f>--(SUMPRODUCT((Data!$C$2:$C$53="K12B")*((Data!$A$2:$A$53 - Settings!$B$4/24) &lt;= A45)*((Data!$B$2:$B$53 + Settings!$B$4/24) &gt; A45))&gt;0)</f>
        <v>0</v>
      </c>
      <c r="F45">
        <f>--(SUMPRODUCT((Data!$C$2:$C$53="TT2")*((Data!$A$2:$A$53 - Settings!$B$4/24) &lt;= A45)*((Data!$B$2:$B$53 + Settings!$B$4/24) &gt; A45))&gt;0)</f>
        <v>0</v>
      </c>
    </row>
    <row r="46" spans="1:6" ht="15.6" x14ac:dyDescent="0.3">
      <c r="A46" s="1">
        <v>45933.833680555559</v>
      </c>
      <c r="B46">
        <f>--(SUMPRODUCT((Data!$C$2:$C$53="K12C")*((Data!$A$2:$A$53 - Settings!$B$4/24) &lt;= A46)*((Data!$B$2:$B$53 + Settings!$B$4/24) &gt; A46))&gt;0)</f>
        <v>0</v>
      </c>
      <c r="C46">
        <f>--(SUMPRODUCT((Data!$C$2:$C$53="K12A")*((Data!$A$2:$A$53 - Settings!$B$4/24) &lt;= A46)*((Data!$B$2:$B$53 + Settings!$B$4/24) &gt; A46))&gt;0)</f>
        <v>1</v>
      </c>
      <c r="D46">
        <f>--(SUMPRODUCT((Data!$C$2:$C$53="K12")*((Data!$A$2:$A$53 - Settings!$B$4/24) &lt;= A46)*((Data!$B$2:$B$53 + Settings!$B$4/24) &gt; A46))&gt;0)</f>
        <v>0</v>
      </c>
      <c r="E46">
        <f>--(SUMPRODUCT((Data!$C$2:$C$53="K12B")*((Data!$A$2:$A$53 - Settings!$B$4/24) &lt;= A46)*((Data!$B$2:$B$53 + Settings!$B$4/24) &gt; A46))&gt;0)</f>
        <v>0</v>
      </c>
      <c r="F46">
        <f>--(SUMPRODUCT((Data!$C$2:$C$53="TT2")*((Data!$A$2:$A$53 - Settings!$B$4/24) &lt;= A46)*((Data!$B$2:$B$53 + Settings!$B$4/24) &gt; A46))&gt;0)</f>
        <v>0</v>
      </c>
    </row>
    <row r="47" spans="1:6" ht="15.6" x14ac:dyDescent="0.3">
      <c r="A47" s="1">
        <v>45933.875347222223</v>
      </c>
      <c r="B47">
        <f>--(SUMPRODUCT((Data!$C$2:$C$53="K12C")*((Data!$A$2:$A$53 - Settings!$B$4/24) &lt;= A47)*((Data!$B$2:$B$53 + Settings!$B$4/24) &gt; A47))&gt;0)</f>
        <v>0</v>
      </c>
      <c r="C47">
        <f>--(SUMPRODUCT((Data!$C$2:$C$53="K12A")*((Data!$A$2:$A$53 - Settings!$B$4/24) &lt;= A47)*((Data!$B$2:$B$53 + Settings!$B$4/24) &gt; A47))&gt;0)</f>
        <v>1</v>
      </c>
      <c r="D47">
        <f>--(SUMPRODUCT((Data!$C$2:$C$53="K12")*((Data!$A$2:$A$53 - Settings!$B$4/24) &lt;= A47)*((Data!$B$2:$B$53 + Settings!$B$4/24) &gt; A47))&gt;0)</f>
        <v>0</v>
      </c>
      <c r="E47">
        <f>--(SUMPRODUCT((Data!$C$2:$C$53="K12B")*((Data!$A$2:$A$53 - Settings!$B$4/24) &lt;= A47)*((Data!$B$2:$B$53 + Settings!$B$4/24) &gt; A47))&gt;0)</f>
        <v>0</v>
      </c>
      <c r="F47">
        <f>--(SUMPRODUCT((Data!$C$2:$C$53="TT2")*((Data!$A$2:$A$53 - Settings!$B$4/24) &lt;= A47)*((Data!$B$2:$B$53 + Settings!$B$4/24) &gt; A47))&gt;0)</f>
        <v>0</v>
      </c>
    </row>
    <row r="48" spans="1:6" ht="15.6" x14ac:dyDescent="0.3">
      <c r="A48" s="1">
        <v>45933.917013888888</v>
      </c>
      <c r="B48">
        <f>--(SUMPRODUCT((Data!$C$2:$C$53="K12C")*((Data!$A$2:$A$53 - Settings!$B$4/24) &lt;= A48)*((Data!$B$2:$B$53 + Settings!$B$4/24) &gt; A48))&gt;0)</f>
        <v>0</v>
      </c>
      <c r="C48">
        <f>--(SUMPRODUCT((Data!$C$2:$C$53="K12A")*((Data!$A$2:$A$53 - Settings!$B$4/24) &lt;= A48)*((Data!$B$2:$B$53 + Settings!$B$4/24) &gt; A48))&gt;0)</f>
        <v>1</v>
      </c>
      <c r="D48">
        <f>--(SUMPRODUCT((Data!$C$2:$C$53="K12")*((Data!$A$2:$A$53 - Settings!$B$4/24) &lt;= A48)*((Data!$B$2:$B$53 + Settings!$B$4/24) &gt; A48))&gt;0)</f>
        <v>1</v>
      </c>
      <c r="E48">
        <f>--(SUMPRODUCT((Data!$C$2:$C$53="K12B")*((Data!$A$2:$A$53 - Settings!$B$4/24) &lt;= A48)*((Data!$B$2:$B$53 + Settings!$B$4/24) &gt; A48))&gt;0)</f>
        <v>0</v>
      </c>
      <c r="F48">
        <f>--(SUMPRODUCT((Data!$C$2:$C$53="TT2")*((Data!$A$2:$A$53 - Settings!$B$4/24) &lt;= A48)*((Data!$B$2:$B$53 + Settings!$B$4/24) &gt; A48))&gt;0)</f>
        <v>0</v>
      </c>
    </row>
    <row r="49" spans="1:6" ht="15.6" x14ac:dyDescent="0.3">
      <c r="A49" s="1">
        <v>45933.958680555559</v>
      </c>
      <c r="B49">
        <f>--(SUMPRODUCT((Data!$C$2:$C$53="K12C")*((Data!$A$2:$A$53 - Settings!$B$4/24) &lt;= A49)*((Data!$B$2:$B$53 + Settings!$B$4/24) &gt; A49))&gt;0)</f>
        <v>0</v>
      </c>
      <c r="C49">
        <f>--(SUMPRODUCT((Data!$C$2:$C$53="K12A")*((Data!$A$2:$A$53 - Settings!$B$4/24) &lt;= A49)*((Data!$B$2:$B$53 + Settings!$B$4/24) &gt; A49))&gt;0)</f>
        <v>1</v>
      </c>
      <c r="D49">
        <f>--(SUMPRODUCT((Data!$C$2:$C$53="K12")*((Data!$A$2:$A$53 - Settings!$B$4/24) &lt;= A49)*((Data!$B$2:$B$53 + Settings!$B$4/24) &gt; A49))&gt;0)</f>
        <v>1</v>
      </c>
      <c r="E49">
        <f>--(SUMPRODUCT((Data!$C$2:$C$53="K12B")*((Data!$A$2:$A$53 - Settings!$B$4/24) &lt;= A49)*((Data!$B$2:$B$53 + Settings!$B$4/24) &gt; A49))&gt;0)</f>
        <v>0</v>
      </c>
      <c r="F49">
        <f>--(SUMPRODUCT((Data!$C$2:$C$53="TT2")*((Data!$A$2:$A$53 - Settings!$B$4/24) &lt;= A49)*((Data!$B$2:$B$53 + Settings!$B$4/24) &gt; A49))&gt;0)</f>
        <v>0</v>
      </c>
    </row>
    <row r="50" spans="1:6" ht="15.6" x14ac:dyDescent="0.3">
      <c r="A50" s="1">
        <v>45934.000347222223</v>
      </c>
      <c r="B50">
        <f>--(SUMPRODUCT((Data!$C$2:$C$53="K12C")*((Data!$A$2:$A$53 - Settings!$B$4/24) &lt;= A50)*((Data!$B$2:$B$53 + Settings!$B$4/24) &gt; A50))&gt;0)</f>
        <v>0</v>
      </c>
      <c r="C50">
        <f>--(SUMPRODUCT((Data!$C$2:$C$53="K12A")*((Data!$A$2:$A$53 - Settings!$B$4/24) &lt;= A50)*((Data!$B$2:$B$53 + Settings!$B$4/24) &gt; A50))&gt;0)</f>
        <v>1</v>
      </c>
      <c r="D50">
        <f>--(SUMPRODUCT((Data!$C$2:$C$53="K12")*((Data!$A$2:$A$53 - Settings!$B$4/24) &lt;= A50)*((Data!$B$2:$B$53 + Settings!$B$4/24) &gt; A50))&gt;0)</f>
        <v>1</v>
      </c>
      <c r="E50">
        <f>--(SUMPRODUCT((Data!$C$2:$C$53="K12B")*((Data!$A$2:$A$53 - Settings!$B$4/24) &lt;= A50)*((Data!$B$2:$B$53 + Settings!$B$4/24) &gt; A50))&gt;0)</f>
        <v>1</v>
      </c>
      <c r="F50">
        <f>--(SUMPRODUCT((Data!$C$2:$C$53="TT2")*((Data!$A$2:$A$53 - Settings!$B$4/24) &lt;= A50)*((Data!$B$2:$B$53 + Settings!$B$4/24) &gt; A50))&gt;0)</f>
        <v>0</v>
      </c>
    </row>
    <row r="51" spans="1:6" ht="15.6" x14ac:dyDescent="0.3">
      <c r="A51" s="1">
        <v>45934.042013888888</v>
      </c>
      <c r="B51">
        <f>--(SUMPRODUCT((Data!$C$2:$C$53="K12C")*((Data!$A$2:$A$53 - Settings!$B$4/24) &lt;= A51)*((Data!$B$2:$B$53 + Settings!$B$4/24) &gt; A51))&gt;0)</f>
        <v>0</v>
      </c>
      <c r="C51">
        <f>--(SUMPRODUCT((Data!$C$2:$C$53="K12A")*((Data!$A$2:$A$53 - Settings!$B$4/24) &lt;= A51)*((Data!$B$2:$B$53 + Settings!$B$4/24) &gt; A51))&gt;0)</f>
        <v>1</v>
      </c>
      <c r="D51">
        <f>--(SUMPRODUCT((Data!$C$2:$C$53="K12")*((Data!$A$2:$A$53 - Settings!$B$4/24) &lt;= A51)*((Data!$B$2:$B$53 + Settings!$B$4/24) &gt; A51))&gt;0)</f>
        <v>1</v>
      </c>
      <c r="E51">
        <f>--(SUMPRODUCT((Data!$C$2:$C$53="K12B")*((Data!$A$2:$A$53 - Settings!$B$4/24) &lt;= A51)*((Data!$B$2:$B$53 + Settings!$B$4/24) &gt; A51))&gt;0)</f>
        <v>1</v>
      </c>
      <c r="F51">
        <f>--(SUMPRODUCT((Data!$C$2:$C$53="TT2")*((Data!$A$2:$A$53 - Settings!$B$4/24) &lt;= A51)*((Data!$B$2:$B$53 + Settings!$B$4/24) &gt; A51))&gt;0)</f>
        <v>0</v>
      </c>
    </row>
    <row r="52" spans="1:6" ht="15.6" x14ac:dyDescent="0.3">
      <c r="A52" s="1">
        <v>45934.083680555559</v>
      </c>
      <c r="B52">
        <f>--(SUMPRODUCT((Data!$C$2:$C$53="K12C")*((Data!$A$2:$A$53 - Settings!$B$4/24) &lt;= A52)*((Data!$B$2:$B$53 + Settings!$B$4/24) &gt; A52))&gt;0)</f>
        <v>0</v>
      </c>
      <c r="C52">
        <f>--(SUMPRODUCT((Data!$C$2:$C$53="K12A")*((Data!$A$2:$A$53 - Settings!$B$4/24) &lt;= A52)*((Data!$B$2:$B$53 + Settings!$B$4/24) &gt; A52))&gt;0)</f>
        <v>1</v>
      </c>
      <c r="D52">
        <f>--(SUMPRODUCT((Data!$C$2:$C$53="K12")*((Data!$A$2:$A$53 - Settings!$B$4/24) &lt;= A52)*((Data!$B$2:$B$53 + Settings!$B$4/24) &gt; A52))&gt;0)</f>
        <v>1</v>
      </c>
      <c r="E52">
        <f>--(SUMPRODUCT((Data!$C$2:$C$53="K12B")*((Data!$A$2:$A$53 - Settings!$B$4/24) &lt;= A52)*((Data!$B$2:$B$53 + Settings!$B$4/24) &gt; A52))&gt;0)</f>
        <v>1</v>
      </c>
      <c r="F52">
        <f>--(SUMPRODUCT((Data!$C$2:$C$53="TT2")*((Data!$A$2:$A$53 - Settings!$B$4/24) &lt;= A52)*((Data!$B$2:$B$53 + Settings!$B$4/24) &gt; A52))&gt;0)</f>
        <v>0</v>
      </c>
    </row>
    <row r="53" spans="1:6" ht="15.6" x14ac:dyDescent="0.3">
      <c r="A53" s="1">
        <v>45934.125347222223</v>
      </c>
      <c r="B53">
        <f>--(SUMPRODUCT((Data!$C$2:$C$53="K12C")*((Data!$A$2:$A$53 - Settings!$B$4/24) &lt;= A53)*((Data!$B$2:$B$53 + Settings!$B$4/24) &gt; A53))&gt;0)</f>
        <v>0</v>
      </c>
      <c r="C53">
        <f>--(SUMPRODUCT((Data!$C$2:$C$53="K12A")*((Data!$A$2:$A$53 - Settings!$B$4/24) &lt;= A53)*((Data!$B$2:$B$53 + Settings!$B$4/24) &gt; A53))&gt;0)</f>
        <v>1</v>
      </c>
      <c r="D53">
        <f>--(SUMPRODUCT((Data!$C$2:$C$53="K12")*((Data!$A$2:$A$53 - Settings!$B$4/24) &lt;= A53)*((Data!$B$2:$B$53 + Settings!$B$4/24) &gt; A53))&gt;0)</f>
        <v>1</v>
      </c>
      <c r="E53">
        <f>--(SUMPRODUCT((Data!$C$2:$C$53="K12B")*((Data!$A$2:$A$53 - Settings!$B$4/24) &lt;= A53)*((Data!$B$2:$B$53 + Settings!$B$4/24) &gt; A53))&gt;0)</f>
        <v>1</v>
      </c>
      <c r="F53">
        <f>--(SUMPRODUCT((Data!$C$2:$C$53="TT2")*((Data!$A$2:$A$53 - Settings!$B$4/24) &lt;= A53)*((Data!$B$2:$B$53 + Settings!$B$4/24) &gt; A53))&gt;0)</f>
        <v>0</v>
      </c>
    </row>
    <row r="54" spans="1:6" ht="15.6" x14ac:dyDescent="0.3">
      <c r="A54" s="1">
        <v>45934.167013888888</v>
      </c>
      <c r="B54">
        <f>--(SUMPRODUCT((Data!$C$2:$C$53="K12C")*((Data!$A$2:$A$53 - Settings!$B$4/24) &lt;= A54)*((Data!$B$2:$B$53 + Settings!$B$4/24) &gt; A54))&gt;0)</f>
        <v>0</v>
      </c>
      <c r="C54">
        <f>--(SUMPRODUCT((Data!$C$2:$C$53="K12A")*((Data!$A$2:$A$53 - Settings!$B$4/24) &lt;= A54)*((Data!$B$2:$B$53 + Settings!$B$4/24) &gt; A54))&gt;0)</f>
        <v>1</v>
      </c>
      <c r="D54">
        <f>--(SUMPRODUCT((Data!$C$2:$C$53="K12")*((Data!$A$2:$A$53 - Settings!$B$4/24) &lt;= A54)*((Data!$B$2:$B$53 + Settings!$B$4/24) &gt; A54))&gt;0)</f>
        <v>1</v>
      </c>
      <c r="E54">
        <f>--(SUMPRODUCT((Data!$C$2:$C$53="K12B")*((Data!$A$2:$A$53 - Settings!$B$4/24) &lt;= A54)*((Data!$B$2:$B$53 + Settings!$B$4/24) &gt; A54))&gt;0)</f>
        <v>1</v>
      </c>
      <c r="F54">
        <f>--(SUMPRODUCT((Data!$C$2:$C$53="TT2")*((Data!$A$2:$A$53 - Settings!$B$4/24) &lt;= A54)*((Data!$B$2:$B$53 + Settings!$B$4/24) &gt; A54))&gt;0)</f>
        <v>0</v>
      </c>
    </row>
    <row r="55" spans="1:6" ht="15.6" x14ac:dyDescent="0.3">
      <c r="A55" s="1">
        <v>45934.208680555559</v>
      </c>
      <c r="B55">
        <f>--(SUMPRODUCT((Data!$C$2:$C$53="K12C")*((Data!$A$2:$A$53 - Settings!$B$4/24) &lt;= A55)*((Data!$B$2:$B$53 + Settings!$B$4/24) &gt; A55))&gt;0)</f>
        <v>0</v>
      </c>
      <c r="C55">
        <f>--(SUMPRODUCT((Data!$C$2:$C$53="K12A")*((Data!$A$2:$A$53 - Settings!$B$4/24) &lt;= A55)*((Data!$B$2:$B$53 + Settings!$B$4/24) &gt; A55))&gt;0)</f>
        <v>1</v>
      </c>
      <c r="D55">
        <f>--(SUMPRODUCT((Data!$C$2:$C$53="K12")*((Data!$A$2:$A$53 - Settings!$B$4/24) &lt;= A55)*((Data!$B$2:$B$53 + Settings!$B$4/24) &gt; A55))&gt;0)</f>
        <v>1</v>
      </c>
      <c r="E55">
        <f>--(SUMPRODUCT((Data!$C$2:$C$53="K12B")*((Data!$A$2:$A$53 - Settings!$B$4/24) &lt;= A55)*((Data!$B$2:$B$53 + Settings!$B$4/24) &gt; A55))&gt;0)</f>
        <v>1</v>
      </c>
      <c r="F55">
        <f>--(SUMPRODUCT((Data!$C$2:$C$53="TT2")*((Data!$A$2:$A$53 - Settings!$B$4/24) &lt;= A55)*((Data!$B$2:$B$53 + Settings!$B$4/24) &gt; A55))&gt;0)</f>
        <v>0</v>
      </c>
    </row>
    <row r="56" spans="1:6" ht="15.6" x14ac:dyDescent="0.3">
      <c r="A56" s="1">
        <v>45934.250347222223</v>
      </c>
      <c r="B56">
        <f>--(SUMPRODUCT((Data!$C$2:$C$53="K12C")*((Data!$A$2:$A$53 - Settings!$B$4/24) &lt;= A56)*((Data!$B$2:$B$53 + Settings!$B$4/24) &gt; A56))&gt;0)</f>
        <v>0</v>
      </c>
      <c r="C56">
        <f>--(SUMPRODUCT((Data!$C$2:$C$53="K12A")*((Data!$A$2:$A$53 - Settings!$B$4/24) &lt;= A56)*((Data!$B$2:$B$53 + Settings!$B$4/24) &gt; A56))&gt;0)</f>
        <v>1</v>
      </c>
      <c r="D56">
        <f>--(SUMPRODUCT((Data!$C$2:$C$53="K12")*((Data!$A$2:$A$53 - Settings!$B$4/24) &lt;= A56)*((Data!$B$2:$B$53 + Settings!$B$4/24) &gt; A56))&gt;0)</f>
        <v>1</v>
      </c>
      <c r="E56">
        <f>--(SUMPRODUCT((Data!$C$2:$C$53="K12B")*((Data!$A$2:$A$53 - Settings!$B$4/24) &lt;= A56)*((Data!$B$2:$B$53 + Settings!$B$4/24) &gt; A56))&gt;0)</f>
        <v>1</v>
      </c>
      <c r="F56">
        <f>--(SUMPRODUCT((Data!$C$2:$C$53="TT2")*((Data!$A$2:$A$53 - Settings!$B$4/24) &lt;= A56)*((Data!$B$2:$B$53 + Settings!$B$4/24) &gt; A56))&gt;0)</f>
        <v>0</v>
      </c>
    </row>
    <row r="57" spans="1:6" ht="15.6" x14ac:dyDescent="0.3">
      <c r="A57" s="1">
        <v>45934.292013888888</v>
      </c>
      <c r="B57">
        <f>--(SUMPRODUCT((Data!$C$2:$C$53="K12C")*((Data!$A$2:$A$53 - Settings!$B$4/24) &lt;= A57)*((Data!$B$2:$B$53 + Settings!$B$4/24) &gt; A57))&gt;0)</f>
        <v>0</v>
      </c>
      <c r="C57">
        <f>--(SUMPRODUCT((Data!$C$2:$C$53="K12A")*((Data!$A$2:$A$53 - Settings!$B$4/24) &lt;= A57)*((Data!$B$2:$B$53 + Settings!$B$4/24) &gt; A57))&gt;0)</f>
        <v>1</v>
      </c>
      <c r="D57">
        <f>--(SUMPRODUCT((Data!$C$2:$C$53="K12")*((Data!$A$2:$A$53 - Settings!$B$4/24) &lt;= A57)*((Data!$B$2:$B$53 + Settings!$B$4/24) &gt; A57))&gt;0)</f>
        <v>1</v>
      </c>
      <c r="E57">
        <f>--(SUMPRODUCT((Data!$C$2:$C$53="K12B")*((Data!$A$2:$A$53 - Settings!$B$4/24) &lt;= A57)*((Data!$B$2:$B$53 + Settings!$B$4/24) &gt; A57))&gt;0)</f>
        <v>1</v>
      </c>
      <c r="F57">
        <f>--(SUMPRODUCT((Data!$C$2:$C$53="TT2")*((Data!$A$2:$A$53 - Settings!$B$4/24) &lt;= A57)*((Data!$B$2:$B$53 + Settings!$B$4/24) &gt; A57))&gt;0)</f>
        <v>0</v>
      </c>
    </row>
    <row r="58" spans="1:6" ht="15.6" x14ac:dyDescent="0.3">
      <c r="A58" s="1">
        <v>45934.333680555559</v>
      </c>
      <c r="B58">
        <f>--(SUMPRODUCT((Data!$C$2:$C$53="K12C")*((Data!$A$2:$A$53 - Settings!$B$4/24) &lt;= A58)*((Data!$B$2:$B$53 + Settings!$B$4/24) &gt; A58))&gt;0)</f>
        <v>0</v>
      </c>
      <c r="C58">
        <f>--(SUMPRODUCT((Data!$C$2:$C$53="K12A")*((Data!$A$2:$A$53 - Settings!$B$4/24) &lt;= A58)*((Data!$B$2:$B$53 + Settings!$B$4/24) &gt; A58))&gt;0)</f>
        <v>1</v>
      </c>
      <c r="D58">
        <f>--(SUMPRODUCT((Data!$C$2:$C$53="K12")*((Data!$A$2:$A$53 - Settings!$B$4/24) &lt;= A58)*((Data!$B$2:$B$53 + Settings!$B$4/24) &gt; A58))&gt;0)</f>
        <v>1</v>
      </c>
      <c r="E58">
        <f>--(SUMPRODUCT((Data!$C$2:$C$53="K12B")*((Data!$A$2:$A$53 - Settings!$B$4/24) &lt;= A58)*((Data!$B$2:$B$53 + Settings!$B$4/24) &gt; A58))&gt;0)</f>
        <v>1</v>
      </c>
      <c r="F58">
        <f>--(SUMPRODUCT((Data!$C$2:$C$53="TT2")*((Data!$A$2:$A$53 - Settings!$B$4/24) &lt;= A58)*((Data!$B$2:$B$53 + Settings!$B$4/24) &gt; A58))&gt;0)</f>
        <v>0</v>
      </c>
    </row>
    <row r="59" spans="1:6" ht="15.6" x14ac:dyDescent="0.3">
      <c r="A59" s="1">
        <v>45934.375347222223</v>
      </c>
      <c r="B59">
        <f>--(SUMPRODUCT((Data!$C$2:$C$53="K12C")*((Data!$A$2:$A$53 - Settings!$B$4/24) &lt;= A59)*((Data!$B$2:$B$53 + Settings!$B$4/24) &gt; A59))&gt;0)</f>
        <v>0</v>
      </c>
      <c r="C59">
        <f>--(SUMPRODUCT((Data!$C$2:$C$53="K12A")*((Data!$A$2:$A$53 - Settings!$B$4/24) &lt;= A59)*((Data!$B$2:$B$53 + Settings!$B$4/24) &gt; A59))&gt;0)</f>
        <v>1</v>
      </c>
      <c r="D59">
        <f>--(SUMPRODUCT((Data!$C$2:$C$53="K12")*((Data!$A$2:$A$53 - Settings!$B$4/24) &lt;= A59)*((Data!$B$2:$B$53 + Settings!$B$4/24) &gt; A59))&gt;0)</f>
        <v>1</v>
      </c>
      <c r="E59">
        <f>--(SUMPRODUCT((Data!$C$2:$C$53="K12B")*((Data!$A$2:$A$53 - Settings!$B$4/24) &lt;= A59)*((Data!$B$2:$B$53 + Settings!$B$4/24) &gt; A59))&gt;0)</f>
        <v>1</v>
      </c>
      <c r="F59">
        <f>--(SUMPRODUCT((Data!$C$2:$C$53="TT2")*((Data!$A$2:$A$53 - Settings!$B$4/24) &lt;= A59)*((Data!$B$2:$B$53 + Settings!$B$4/24) &gt; A59))&gt;0)</f>
        <v>0</v>
      </c>
    </row>
    <row r="60" spans="1:6" ht="15.6" x14ac:dyDescent="0.3">
      <c r="A60" s="1">
        <v>45934.417013888888</v>
      </c>
      <c r="B60">
        <f>--(SUMPRODUCT((Data!$C$2:$C$53="K12C")*((Data!$A$2:$A$53 - Settings!$B$4/24) &lt;= A60)*((Data!$B$2:$B$53 + Settings!$B$4/24) &gt; A60))&gt;0)</f>
        <v>0</v>
      </c>
      <c r="C60">
        <f>--(SUMPRODUCT((Data!$C$2:$C$53="K12A")*((Data!$A$2:$A$53 - Settings!$B$4/24) &lt;= A60)*((Data!$B$2:$B$53 + Settings!$B$4/24) &gt; A60))&gt;0)</f>
        <v>1</v>
      </c>
      <c r="D60">
        <f>--(SUMPRODUCT((Data!$C$2:$C$53="K12")*((Data!$A$2:$A$53 - Settings!$B$4/24) &lt;= A60)*((Data!$B$2:$B$53 + Settings!$B$4/24) &gt; A60))&gt;0)</f>
        <v>1</v>
      </c>
      <c r="E60">
        <f>--(SUMPRODUCT((Data!$C$2:$C$53="K12B")*((Data!$A$2:$A$53 - Settings!$B$4/24) &lt;= A60)*((Data!$B$2:$B$53 + Settings!$B$4/24) &gt; A60))&gt;0)</f>
        <v>1</v>
      </c>
      <c r="F60">
        <f>--(SUMPRODUCT((Data!$C$2:$C$53="TT2")*((Data!$A$2:$A$53 - Settings!$B$4/24) &lt;= A60)*((Data!$B$2:$B$53 + Settings!$B$4/24) &gt; A60))&gt;0)</f>
        <v>0</v>
      </c>
    </row>
    <row r="61" spans="1:6" ht="15.6" x14ac:dyDescent="0.3">
      <c r="A61" s="1">
        <v>45934.458680555559</v>
      </c>
      <c r="B61">
        <f>--(SUMPRODUCT((Data!$C$2:$C$53="K12C")*((Data!$A$2:$A$53 - Settings!$B$4/24) &lt;= A61)*((Data!$B$2:$B$53 + Settings!$B$4/24) &gt; A61))&gt;0)</f>
        <v>0</v>
      </c>
      <c r="C61">
        <f>--(SUMPRODUCT((Data!$C$2:$C$53="K12A")*((Data!$A$2:$A$53 - Settings!$B$4/24) &lt;= A61)*((Data!$B$2:$B$53 + Settings!$B$4/24) &gt; A61))&gt;0)</f>
        <v>1</v>
      </c>
      <c r="D61">
        <f>--(SUMPRODUCT((Data!$C$2:$C$53="K12")*((Data!$A$2:$A$53 - Settings!$B$4/24) &lt;= A61)*((Data!$B$2:$B$53 + Settings!$B$4/24) &gt; A61))&gt;0)</f>
        <v>1</v>
      </c>
      <c r="E61">
        <f>--(SUMPRODUCT((Data!$C$2:$C$53="K12B")*((Data!$A$2:$A$53 - Settings!$B$4/24) &lt;= A61)*((Data!$B$2:$B$53 + Settings!$B$4/24) &gt; A61))&gt;0)</f>
        <v>1</v>
      </c>
      <c r="F61">
        <f>--(SUMPRODUCT((Data!$C$2:$C$53="TT2")*((Data!$A$2:$A$53 - Settings!$B$4/24) &lt;= A61)*((Data!$B$2:$B$53 + Settings!$B$4/24) &gt; A61))&gt;0)</f>
        <v>0</v>
      </c>
    </row>
    <row r="62" spans="1:6" ht="15.6" x14ac:dyDescent="0.3">
      <c r="A62" s="1">
        <v>45934.500347222223</v>
      </c>
      <c r="B62">
        <f>--(SUMPRODUCT((Data!$C$2:$C$53="K12C")*((Data!$A$2:$A$53 - Settings!$B$4/24) &lt;= A62)*((Data!$B$2:$B$53 + Settings!$B$4/24) &gt; A62))&gt;0)</f>
        <v>0</v>
      </c>
      <c r="C62">
        <f>--(SUMPRODUCT((Data!$C$2:$C$53="K12A")*((Data!$A$2:$A$53 - Settings!$B$4/24) &lt;= A62)*((Data!$B$2:$B$53 + Settings!$B$4/24) &gt; A62))&gt;0)</f>
        <v>1</v>
      </c>
      <c r="D62">
        <f>--(SUMPRODUCT((Data!$C$2:$C$53="K12")*((Data!$A$2:$A$53 - Settings!$B$4/24) &lt;= A62)*((Data!$B$2:$B$53 + Settings!$B$4/24) &gt; A62))&gt;0)</f>
        <v>1</v>
      </c>
      <c r="E62">
        <f>--(SUMPRODUCT((Data!$C$2:$C$53="K12B")*((Data!$A$2:$A$53 - Settings!$B$4/24) &lt;= A62)*((Data!$B$2:$B$53 + Settings!$B$4/24) &gt; A62))&gt;0)</f>
        <v>1</v>
      </c>
      <c r="F62">
        <f>--(SUMPRODUCT((Data!$C$2:$C$53="TT2")*((Data!$A$2:$A$53 - Settings!$B$4/24) &lt;= A62)*((Data!$B$2:$B$53 + Settings!$B$4/24) &gt; A62))&gt;0)</f>
        <v>0</v>
      </c>
    </row>
    <row r="63" spans="1:6" ht="15.6" x14ac:dyDescent="0.3">
      <c r="A63" s="1">
        <v>45934.542013888888</v>
      </c>
      <c r="B63">
        <f>--(SUMPRODUCT((Data!$C$2:$C$53="K12C")*((Data!$A$2:$A$53 - Settings!$B$4/24) &lt;= A63)*((Data!$B$2:$B$53 + Settings!$B$4/24) &gt; A63))&gt;0)</f>
        <v>0</v>
      </c>
      <c r="C63">
        <f>--(SUMPRODUCT((Data!$C$2:$C$53="K12A")*((Data!$A$2:$A$53 - Settings!$B$4/24) &lt;= A63)*((Data!$B$2:$B$53 + Settings!$B$4/24) &gt; A63))&gt;0)</f>
        <v>1</v>
      </c>
      <c r="D63">
        <f>--(SUMPRODUCT((Data!$C$2:$C$53="K12")*((Data!$A$2:$A$53 - Settings!$B$4/24) &lt;= A63)*((Data!$B$2:$B$53 + Settings!$B$4/24) &gt; A63))&gt;0)</f>
        <v>1</v>
      </c>
      <c r="E63">
        <f>--(SUMPRODUCT((Data!$C$2:$C$53="K12B")*((Data!$A$2:$A$53 - Settings!$B$4/24) &lt;= A63)*((Data!$B$2:$B$53 + Settings!$B$4/24) &gt; A63))&gt;0)</f>
        <v>1</v>
      </c>
      <c r="F63">
        <f>--(SUMPRODUCT((Data!$C$2:$C$53="TT2")*((Data!$A$2:$A$53 - Settings!$B$4/24) &lt;= A63)*((Data!$B$2:$B$53 + Settings!$B$4/24) &gt; A63))&gt;0)</f>
        <v>0</v>
      </c>
    </row>
    <row r="64" spans="1:6" ht="15.6" x14ac:dyDescent="0.3">
      <c r="A64" s="1">
        <v>45934.583680555559</v>
      </c>
      <c r="B64">
        <f>--(SUMPRODUCT((Data!$C$2:$C$53="K12C")*((Data!$A$2:$A$53 - Settings!$B$4/24) &lt;= A64)*((Data!$B$2:$B$53 + Settings!$B$4/24) &gt; A64))&gt;0)</f>
        <v>0</v>
      </c>
      <c r="C64">
        <f>--(SUMPRODUCT((Data!$C$2:$C$53="K12A")*((Data!$A$2:$A$53 - Settings!$B$4/24) &lt;= A64)*((Data!$B$2:$B$53 + Settings!$B$4/24) &gt; A64))&gt;0)</f>
        <v>0</v>
      </c>
      <c r="D64">
        <f>--(SUMPRODUCT((Data!$C$2:$C$53="K12")*((Data!$A$2:$A$53 - Settings!$B$4/24) &lt;= A64)*((Data!$B$2:$B$53 + Settings!$B$4/24) &gt; A64))&gt;0)</f>
        <v>1</v>
      </c>
      <c r="E64">
        <f>--(SUMPRODUCT((Data!$C$2:$C$53="K12B")*((Data!$A$2:$A$53 - Settings!$B$4/24) &lt;= A64)*((Data!$B$2:$B$53 + Settings!$B$4/24) &gt; A64))&gt;0)</f>
        <v>1</v>
      </c>
      <c r="F64">
        <f>--(SUMPRODUCT((Data!$C$2:$C$53="TT2")*((Data!$A$2:$A$53 - Settings!$B$4/24) &lt;= A64)*((Data!$B$2:$B$53 + Settings!$B$4/24) &gt; A64))&gt;0)</f>
        <v>0</v>
      </c>
    </row>
    <row r="65" spans="1:6" ht="15.6" x14ac:dyDescent="0.3">
      <c r="A65" s="1">
        <v>45934.625347222223</v>
      </c>
      <c r="B65">
        <f>--(SUMPRODUCT((Data!$C$2:$C$53="K12C")*((Data!$A$2:$A$53 - Settings!$B$4/24) &lt;= A65)*((Data!$B$2:$B$53 + Settings!$B$4/24) &gt; A65))&gt;0)</f>
        <v>0</v>
      </c>
      <c r="C65">
        <f>--(SUMPRODUCT((Data!$C$2:$C$53="K12A")*((Data!$A$2:$A$53 - Settings!$B$4/24) &lt;= A65)*((Data!$B$2:$B$53 + Settings!$B$4/24) &gt; A65))&gt;0)</f>
        <v>0</v>
      </c>
      <c r="D65">
        <f>--(SUMPRODUCT((Data!$C$2:$C$53="K12")*((Data!$A$2:$A$53 - Settings!$B$4/24) &lt;= A65)*((Data!$B$2:$B$53 + Settings!$B$4/24) &gt; A65))&gt;0)</f>
        <v>1</v>
      </c>
      <c r="E65">
        <f>--(SUMPRODUCT((Data!$C$2:$C$53="K12B")*((Data!$A$2:$A$53 - Settings!$B$4/24) &lt;= A65)*((Data!$B$2:$B$53 + Settings!$B$4/24) &gt; A65))&gt;0)</f>
        <v>1</v>
      </c>
      <c r="F65">
        <f>--(SUMPRODUCT((Data!$C$2:$C$53="TT2")*((Data!$A$2:$A$53 - Settings!$B$4/24) &lt;= A65)*((Data!$B$2:$B$53 + Settings!$B$4/24) &gt; A65))&gt;0)</f>
        <v>0</v>
      </c>
    </row>
    <row r="66" spans="1:6" ht="15.6" x14ac:dyDescent="0.3">
      <c r="A66" s="1">
        <v>45934.667013888888</v>
      </c>
      <c r="B66">
        <f>--(SUMPRODUCT((Data!$C$2:$C$53="K12C")*((Data!$A$2:$A$53 - Settings!$B$4/24) &lt;= A66)*((Data!$B$2:$B$53 + Settings!$B$4/24) &gt; A66))&gt;0)</f>
        <v>0</v>
      </c>
      <c r="C66">
        <f>--(SUMPRODUCT((Data!$C$2:$C$53="K12A")*((Data!$A$2:$A$53 - Settings!$B$4/24) &lt;= A66)*((Data!$B$2:$B$53 + Settings!$B$4/24) &gt; A66))&gt;0)</f>
        <v>0</v>
      </c>
      <c r="D66">
        <f>--(SUMPRODUCT((Data!$C$2:$C$53="K12")*((Data!$A$2:$A$53 - Settings!$B$4/24) &lt;= A66)*((Data!$B$2:$B$53 + Settings!$B$4/24) &gt; A66))&gt;0)</f>
        <v>1</v>
      </c>
      <c r="E66">
        <f>--(SUMPRODUCT((Data!$C$2:$C$53="K12B")*((Data!$A$2:$A$53 - Settings!$B$4/24) &lt;= A66)*((Data!$B$2:$B$53 + Settings!$B$4/24) &gt; A66))&gt;0)</f>
        <v>1</v>
      </c>
      <c r="F66">
        <f>--(SUMPRODUCT((Data!$C$2:$C$53="TT2")*((Data!$A$2:$A$53 - Settings!$B$4/24) &lt;= A66)*((Data!$B$2:$B$53 + Settings!$B$4/24) &gt; A66))&gt;0)</f>
        <v>0</v>
      </c>
    </row>
    <row r="67" spans="1:6" ht="15.6" x14ac:dyDescent="0.3">
      <c r="A67" s="1">
        <v>45934.708680555559</v>
      </c>
      <c r="B67">
        <f>--(SUMPRODUCT((Data!$C$2:$C$53="K12C")*((Data!$A$2:$A$53 - Settings!$B$4/24) &lt;= A67)*((Data!$B$2:$B$53 + Settings!$B$4/24) &gt; A67))&gt;0)</f>
        <v>0</v>
      </c>
      <c r="C67">
        <f>--(SUMPRODUCT((Data!$C$2:$C$53="K12A")*((Data!$A$2:$A$53 - Settings!$B$4/24) &lt;= A67)*((Data!$B$2:$B$53 + Settings!$B$4/24) &gt; A67))&gt;0)</f>
        <v>0</v>
      </c>
      <c r="D67">
        <f>--(SUMPRODUCT((Data!$C$2:$C$53="K12")*((Data!$A$2:$A$53 - Settings!$B$4/24) &lt;= A67)*((Data!$B$2:$B$53 + Settings!$B$4/24) &gt; A67))&gt;0)</f>
        <v>1</v>
      </c>
      <c r="E67">
        <f>--(SUMPRODUCT((Data!$C$2:$C$53="K12B")*((Data!$A$2:$A$53 - Settings!$B$4/24) &lt;= A67)*((Data!$B$2:$B$53 + Settings!$B$4/24) &gt; A67))&gt;0)</f>
        <v>1</v>
      </c>
      <c r="F67">
        <f>--(SUMPRODUCT((Data!$C$2:$C$53="TT2")*((Data!$A$2:$A$53 - Settings!$B$4/24) &lt;= A67)*((Data!$B$2:$B$53 + Settings!$B$4/24) &gt; A67))&gt;0)</f>
        <v>0</v>
      </c>
    </row>
    <row r="68" spans="1:6" ht="15.6" x14ac:dyDescent="0.3">
      <c r="A68" s="1">
        <v>45934.750347222223</v>
      </c>
      <c r="B68">
        <f>--(SUMPRODUCT((Data!$C$2:$C$53="K12C")*((Data!$A$2:$A$53 - Settings!$B$4/24) &lt;= A68)*((Data!$B$2:$B$53 + Settings!$B$4/24) &gt; A68))&gt;0)</f>
        <v>0</v>
      </c>
      <c r="C68">
        <f>--(SUMPRODUCT((Data!$C$2:$C$53="K12A")*((Data!$A$2:$A$53 - Settings!$B$4/24) &lt;= A68)*((Data!$B$2:$B$53 + Settings!$B$4/24) &gt; A68))&gt;0)</f>
        <v>0</v>
      </c>
      <c r="D68">
        <f>--(SUMPRODUCT((Data!$C$2:$C$53="K12")*((Data!$A$2:$A$53 - Settings!$B$4/24) &lt;= A68)*((Data!$B$2:$B$53 + Settings!$B$4/24) &gt; A68))&gt;0)</f>
        <v>1</v>
      </c>
      <c r="E68">
        <f>--(SUMPRODUCT((Data!$C$2:$C$53="K12B")*((Data!$A$2:$A$53 - Settings!$B$4/24) &lt;= A68)*((Data!$B$2:$B$53 + Settings!$B$4/24) &gt; A68))&gt;0)</f>
        <v>1</v>
      </c>
      <c r="F68">
        <f>--(SUMPRODUCT((Data!$C$2:$C$53="TT2")*((Data!$A$2:$A$53 - Settings!$B$4/24) &lt;= A68)*((Data!$B$2:$B$53 + Settings!$B$4/24) &gt; A68))&gt;0)</f>
        <v>0</v>
      </c>
    </row>
    <row r="69" spans="1:6" ht="15.6" x14ac:dyDescent="0.3">
      <c r="A69" s="1">
        <v>45934.792013888888</v>
      </c>
      <c r="B69">
        <f>--(SUMPRODUCT((Data!$C$2:$C$53="K12C")*((Data!$A$2:$A$53 - Settings!$B$4/24) &lt;= A69)*((Data!$B$2:$B$53 + Settings!$B$4/24) &gt; A69))&gt;0)</f>
        <v>0</v>
      </c>
      <c r="C69">
        <f>--(SUMPRODUCT((Data!$C$2:$C$53="K12A")*((Data!$A$2:$A$53 - Settings!$B$4/24) &lt;= A69)*((Data!$B$2:$B$53 + Settings!$B$4/24) &gt; A69))&gt;0)</f>
        <v>0</v>
      </c>
      <c r="D69">
        <f>--(SUMPRODUCT((Data!$C$2:$C$53="K12")*((Data!$A$2:$A$53 - Settings!$B$4/24) &lt;= A69)*((Data!$B$2:$B$53 + Settings!$B$4/24) &gt; A69))&gt;0)</f>
        <v>1</v>
      </c>
      <c r="E69">
        <f>--(SUMPRODUCT((Data!$C$2:$C$53="K12B")*((Data!$A$2:$A$53 - Settings!$B$4/24) &lt;= A69)*((Data!$B$2:$B$53 + Settings!$B$4/24) &gt; A69))&gt;0)</f>
        <v>1</v>
      </c>
      <c r="F69">
        <f>--(SUMPRODUCT((Data!$C$2:$C$53="TT2")*((Data!$A$2:$A$53 - Settings!$B$4/24) &lt;= A69)*((Data!$B$2:$B$53 + Settings!$B$4/24) &gt; A69))&gt;0)</f>
        <v>0</v>
      </c>
    </row>
    <row r="70" spans="1:6" ht="15.6" x14ac:dyDescent="0.3">
      <c r="A70" s="1">
        <v>45934.833680555559</v>
      </c>
      <c r="B70">
        <f>--(SUMPRODUCT((Data!$C$2:$C$53="K12C")*((Data!$A$2:$A$53 - Settings!$B$4/24) &lt;= A70)*((Data!$B$2:$B$53 + Settings!$B$4/24) &gt; A70))&gt;0)</f>
        <v>0</v>
      </c>
      <c r="C70">
        <f>--(SUMPRODUCT((Data!$C$2:$C$53="K12A")*((Data!$A$2:$A$53 - Settings!$B$4/24) &lt;= A70)*((Data!$B$2:$B$53 + Settings!$B$4/24) &gt; A70))&gt;0)</f>
        <v>0</v>
      </c>
      <c r="D70">
        <f>--(SUMPRODUCT((Data!$C$2:$C$53="K12")*((Data!$A$2:$A$53 - Settings!$B$4/24) &lt;= A70)*((Data!$B$2:$B$53 + Settings!$B$4/24) &gt; A70))&gt;0)</f>
        <v>1</v>
      </c>
      <c r="E70">
        <f>--(SUMPRODUCT((Data!$C$2:$C$53="K12B")*((Data!$A$2:$A$53 - Settings!$B$4/24) &lt;= A70)*((Data!$B$2:$B$53 + Settings!$B$4/24) &gt; A70))&gt;0)</f>
        <v>1</v>
      </c>
      <c r="F70">
        <f>--(SUMPRODUCT((Data!$C$2:$C$53="TT2")*((Data!$A$2:$A$53 - Settings!$B$4/24) &lt;= A70)*((Data!$B$2:$B$53 + Settings!$B$4/24) &gt; A70))&gt;0)</f>
        <v>0</v>
      </c>
    </row>
    <row r="71" spans="1:6" ht="15.6" x14ac:dyDescent="0.3">
      <c r="A71" s="1">
        <v>45934.875347222223</v>
      </c>
      <c r="B71">
        <f>--(SUMPRODUCT((Data!$C$2:$C$53="K12C")*((Data!$A$2:$A$53 - Settings!$B$4/24) &lt;= A71)*((Data!$B$2:$B$53 + Settings!$B$4/24) &gt; A71))&gt;0)</f>
        <v>0</v>
      </c>
      <c r="C71">
        <f>--(SUMPRODUCT((Data!$C$2:$C$53="K12A")*((Data!$A$2:$A$53 - Settings!$B$4/24) &lt;= A71)*((Data!$B$2:$B$53 + Settings!$B$4/24) &gt; A71))&gt;0)</f>
        <v>0</v>
      </c>
      <c r="D71">
        <f>--(SUMPRODUCT((Data!$C$2:$C$53="K12")*((Data!$A$2:$A$53 - Settings!$B$4/24) &lt;= A71)*((Data!$B$2:$B$53 + Settings!$B$4/24) &gt; A71))&gt;0)</f>
        <v>1</v>
      </c>
      <c r="E71">
        <f>--(SUMPRODUCT((Data!$C$2:$C$53="K12B")*((Data!$A$2:$A$53 - Settings!$B$4/24) &lt;= A71)*((Data!$B$2:$B$53 + Settings!$B$4/24) &gt; A71))&gt;0)</f>
        <v>1</v>
      </c>
      <c r="F71">
        <f>--(SUMPRODUCT((Data!$C$2:$C$53="TT2")*((Data!$A$2:$A$53 - Settings!$B$4/24) &lt;= A71)*((Data!$B$2:$B$53 + Settings!$B$4/24) &gt; A71))&gt;0)</f>
        <v>0</v>
      </c>
    </row>
    <row r="72" spans="1:6" ht="15.6" x14ac:dyDescent="0.3">
      <c r="A72" s="1">
        <v>45934.917013888888</v>
      </c>
      <c r="B72">
        <f>--(SUMPRODUCT((Data!$C$2:$C$53="K12C")*((Data!$A$2:$A$53 - Settings!$B$4/24) &lt;= A72)*((Data!$B$2:$B$53 + Settings!$B$4/24) &gt; A72))&gt;0)</f>
        <v>0</v>
      </c>
      <c r="C72">
        <f>--(SUMPRODUCT((Data!$C$2:$C$53="K12A")*((Data!$A$2:$A$53 - Settings!$B$4/24) &lt;= A72)*((Data!$B$2:$B$53 + Settings!$B$4/24) &gt; A72))&gt;0)</f>
        <v>0</v>
      </c>
      <c r="D72">
        <f>--(SUMPRODUCT((Data!$C$2:$C$53="K12")*((Data!$A$2:$A$53 - Settings!$B$4/24) &lt;= A72)*((Data!$B$2:$B$53 + Settings!$B$4/24) &gt; A72))&gt;0)</f>
        <v>1</v>
      </c>
      <c r="E72">
        <f>--(SUMPRODUCT((Data!$C$2:$C$53="K12B")*((Data!$A$2:$A$53 - Settings!$B$4/24) &lt;= A72)*((Data!$B$2:$B$53 + Settings!$B$4/24) &gt; A72))&gt;0)</f>
        <v>1</v>
      </c>
      <c r="F72">
        <f>--(SUMPRODUCT((Data!$C$2:$C$53="TT2")*((Data!$A$2:$A$53 - Settings!$B$4/24) &lt;= A72)*((Data!$B$2:$B$53 + Settings!$B$4/24) &gt; A72))&gt;0)</f>
        <v>0</v>
      </c>
    </row>
    <row r="73" spans="1:6" ht="15.6" x14ac:dyDescent="0.3">
      <c r="A73" s="1">
        <v>45934.958680555559</v>
      </c>
      <c r="B73">
        <f>--(SUMPRODUCT((Data!$C$2:$C$53="K12C")*((Data!$A$2:$A$53 - Settings!$B$4/24) &lt;= A73)*((Data!$B$2:$B$53 + Settings!$B$4/24) &gt; A73))&gt;0)</f>
        <v>0</v>
      </c>
      <c r="C73">
        <f>--(SUMPRODUCT((Data!$C$2:$C$53="K12A")*((Data!$A$2:$A$53 - Settings!$B$4/24) &lt;= A73)*((Data!$B$2:$B$53 + Settings!$B$4/24) &gt; A73))&gt;0)</f>
        <v>0</v>
      </c>
      <c r="D73">
        <f>--(SUMPRODUCT((Data!$C$2:$C$53="K12")*((Data!$A$2:$A$53 - Settings!$B$4/24) &lt;= A73)*((Data!$B$2:$B$53 + Settings!$B$4/24) &gt; A73))&gt;0)</f>
        <v>1</v>
      </c>
      <c r="E73">
        <f>--(SUMPRODUCT((Data!$C$2:$C$53="K12B")*((Data!$A$2:$A$53 - Settings!$B$4/24) &lt;= A73)*((Data!$B$2:$B$53 + Settings!$B$4/24) &gt; A73))&gt;0)</f>
        <v>1</v>
      </c>
      <c r="F73">
        <f>--(SUMPRODUCT((Data!$C$2:$C$53="TT2")*((Data!$A$2:$A$53 - Settings!$B$4/24) &lt;= A73)*((Data!$B$2:$B$53 + Settings!$B$4/24) &gt; A73))&gt;0)</f>
        <v>0</v>
      </c>
    </row>
    <row r="74" spans="1:6" ht="15.6" x14ac:dyDescent="0.3">
      <c r="A74" s="1">
        <v>45935.000347222223</v>
      </c>
      <c r="B74">
        <f>--(SUMPRODUCT((Data!$C$2:$C$53="K12C")*((Data!$A$2:$A$53 - Settings!$B$4/24) &lt;= A74)*((Data!$B$2:$B$53 + Settings!$B$4/24) &gt; A74))&gt;0)</f>
        <v>0</v>
      </c>
      <c r="C74">
        <f>--(SUMPRODUCT((Data!$C$2:$C$53="K12A")*((Data!$A$2:$A$53 - Settings!$B$4/24) &lt;= A74)*((Data!$B$2:$B$53 + Settings!$B$4/24) &gt; A74))&gt;0)</f>
        <v>0</v>
      </c>
      <c r="D74">
        <f>--(SUMPRODUCT((Data!$C$2:$C$53="K12")*((Data!$A$2:$A$53 - Settings!$B$4/24) &lt;= A74)*((Data!$B$2:$B$53 + Settings!$B$4/24) &gt; A74))&gt;0)</f>
        <v>1</v>
      </c>
      <c r="E74">
        <f>--(SUMPRODUCT((Data!$C$2:$C$53="K12B")*((Data!$A$2:$A$53 - Settings!$B$4/24) &lt;= A74)*((Data!$B$2:$B$53 + Settings!$B$4/24) &gt; A74))&gt;0)</f>
        <v>1</v>
      </c>
      <c r="F74">
        <f>--(SUMPRODUCT((Data!$C$2:$C$53="TT2")*((Data!$A$2:$A$53 - Settings!$B$4/24) &lt;= A74)*((Data!$B$2:$B$53 + Settings!$B$4/24) &gt; A74))&gt;0)</f>
        <v>0</v>
      </c>
    </row>
    <row r="75" spans="1:6" ht="15.6" x14ac:dyDescent="0.3">
      <c r="A75" s="1">
        <v>45935.042013888888</v>
      </c>
      <c r="B75">
        <f>--(SUMPRODUCT((Data!$C$2:$C$53="K12C")*((Data!$A$2:$A$53 - Settings!$B$4/24) &lt;= A75)*((Data!$B$2:$B$53 + Settings!$B$4/24) &gt; A75))&gt;0)</f>
        <v>0</v>
      </c>
      <c r="C75">
        <f>--(SUMPRODUCT((Data!$C$2:$C$53="K12A")*((Data!$A$2:$A$53 - Settings!$B$4/24) &lt;= A75)*((Data!$B$2:$B$53 + Settings!$B$4/24) &gt; A75))&gt;0)</f>
        <v>0</v>
      </c>
      <c r="D75">
        <f>--(SUMPRODUCT((Data!$C$2:$C$53="K12")*((Data!$A$2:$A$53 - Settings!$B$4/24) &lt;= A75)*((Data!$B$2:$B$53 + Settings!$B$4/24) &gt; A75))&gt;0)</f>
        <v>0</v>
      </c>
      <c r="E75">
        <f>--(SUMPRODUCT((Data!$C$2:$C$53="K12B")*((Data!$A$2:$A$53 - Settings!$B$4/24) &lt;= A75)*((Data!$B$2:$B$53 + Settings!$B$4/24) &gt; A75))&gt;0)</f>
        <v>0</v>
      </c>
      <c r="F75">
        <f>--(SUMPRODUCT((Data!$C$2:$C$53="TT2")*((Data!$A$2:$A$53 - Settings!$B$4/24) &lt;= A75)*((Data!$B$2:$B$53 + Settings!$B$4/24) &gt; A75))&gt;0)</f>
        <v>0</v>
      </c>
    </row>
    <row r="76" spans="1:6" ht="15.6" x14ac:dyDescent="0.3">
      <c r="A76" s="1">
        <v>45935.083680555559</v>
      </c>
      <c r="B76">
        <f>--(SUMPRODUCT((Data!$C$2:$C$53="K12C")*((Data!$A$2:$A$53 - Settings!$B$4/24) &lt;= A76)*((Data!$B$2:$B$53 + Settings!$B$4/24) &gt; A76))&gt;0)</f>
        <v>0</v>
      </c>
      <c r="C76">
        <f>--(SUMPRODUCT((Data!$C$2:$C$53="K12A")*((Data!$A$2:$A$53 - Settings!$B$4/24) &lt;= A76)*((Data!$B$2:$B$53 + Settings!$B$4/24) &gt; A76))&gt;0)</f>
        <v>0</v>
      </c>
      <c r="D76">
        <f>--(SUMPRODUCT((Data!$C$2:$C$53="K12")*((Data!$A$2:$A$53 - Settings!$B$4/24) &lt;= A76)*((Data!$B$2:$B$53 + Settings!$B$4/24) &gt; A76))&gt;0)</f>
        <v>0</v>
      </c>
      <c r="E76">
        <f>--(SUMPRODUCT((Data!$C$2:$C$53="K12B")*((Data!$A$2:$A$53 - Settings!$B$4/24) &lt;= A76)*((Data!$B$2:$B$53 + Settings!$B$4/24) &gt; A76))&gt;0)</f>
        <v>0</v>
      </c>
      <c r="F76">
        <f>--(SUMPRODUCT((Data!$C$2:$C$53="TT2")*((Data!$A$2:$A$53 - Settings!$B$4/24) &lt;= A76)*((Data!$B$2:$B$53 + Settings!$B$4/24) &gt; A76))&gt;0)</f>
        <v>0</v>
      </c>
    </row>
    <row r="77" spans="1:6" ht="15.6" x14ac:dyDescent="0.3">
      <c r="A77" s="1">
        <v>45935.125347222223</v>
      </c>
      <c r="B77">
        <f>--(SUMPRODUCT((Data!$C$2:$C$53="K12C")*((Data!$A$2:$A$53 - Settings!$B$4/24) &lt;= A77)*((Data!$B$2:$B$53 + Settings!$B$4/24) &gt; A77))&gt;0)</f>
        <v>0</v>
      </c>
      <c r="C77">
        <f>--(SUMPRODUCT((Data!$C$2:$C$53="K12A")*((Data!$A$2:$A$53 - Settings!$B$4/24) &lt;= A77)*((Data!$B$2:$B$53 + Settings!$B$4/24) &gt; A77))&gt;0)</f>
        <v>0</v>
      </c>
      <c r="D77">
        <f>--(SUMPRODUCT((Data!$C$2:$C$53="K12")*((Data!$A$2:$A$53 - Settings!$B$4/24) &lt;= A77)*((Data!$B$2:$B$53 + Settings!$B$4/24) &gt; A77))&gt;0)</f>
        <v>0</v>
      </c>
      <c r="E77">
        <f>--(SUMPRODUCT((Data!$C$2:$C$53="K12B")*((Data!$A$2:$A$53 - Settings!$B$4/24) &lt;= A77)*((Data!$B$2:$B$53 + Settings!$B$4/24) &gt; A77))&gt;0)</f>
        <v>0</v>
      </c>
      <c r="F77">
        <f>--(SUMPRODUCT((Data!$C$2:$C$53="TT2")*((Data!$A$2:$A$53 - Settings!$B$4/24) &lt;= A77)*((Data!$B$2:$B$53 + Settings!$B$4/24) &gt; A77))&gt;0)</f>
        <v>0</v>
      </c>
    </row>
    <row r="78" spans="1:6" ht="15.6" x14ac:dyDescent="0.3">
      <c r="A78" s="1">
        <v>45935.167013888888</v>
      </c>
      <c r="B78">
        <f>--(SUMPRODUCT((Data!$C$2:$C$53="K12C")*((Data!$A$2:$A$53 - Settings!$B$4/24) &lt;= A78)*((Data!$B$2:$B$53 + Settings!$B$4/24) &gt; A78))&gt;0)</f>
        <v>0</v>
      </c>
      <c r="C78">
        <f>--(SUMPRODUCT((Data!$C$2:$C$53="K12A")*((Data!$A$2:$A$53 - Settings!$B$4/24) &lt;= A78)*((Data!$B$2:$B$53 + Settings!$B$4/24) &gt; A78))&gt;0)</f>
        <v>0</v>
      </c>
      <c r="D78">
        <f>--(SUMPRODUCT((Data!$C$2:$C$53="K12")*((Data!$A$2:$A$53 - Settings!$B$4/24) &lt;= A78)*((Data!$B$2:$B$53 + Settings!$B$4/24) &gt; A78))&gt;0)</f>
        <v>0</v>
      </c>
      <c r="E78">
        <f>--(SUMPRODUCT((Data!$C$2:$C$53="K12B")*((Data!$A$2:$A$53 - Settings!$B$4/24) &lt;= A78)*((Data!$B$2:$B$53 + Settings!$B$4/24) &gt; A78))&gt;0)</f>
        <v>0</v>
      </c>
      <c r="F78">
        <f>--(SUMPRODUCT((Data!$C$2:$C$53="TT2")*((Data!$A$2:$A$53 - Settings!$B$4/24) &lt;= A78)*((Data!$B$2:$B$53 + Settings!$B$4/24) &gt; A78))&gt;0)</f>
        <v>0</v>
      </c>
    </row>
    <row r="79" spans="1:6" ht="15.6" x14ac:dyDescent="0.3">
      <c r="A79" s="1">
        <v>45935.208680555559</v>
      </c>
      <c r="B79">
        <f>--(SUMPRODUCT((Data!$C$2:$C$53="K12C")*((Data!$A$2:$A$53 - Settings!$B$4/24) &lt;= A79)*((Data!$B$2:$B$53 + Settings!$B$4/24) &gt; A79))&gt;0)</f>
        <v>0</v>
      </c>
      <c r="C79">
        <f>--(SUMPRODUCT((Data!$C$2:$C$53="K12A")*((Data!$A$2:$A$53 - Settings!$B$4/24) &lt;= A79)*((Data!$B$2:$B$53 + Settings!$B$4/24) &gt; A79))&gt;0)</f>
        <v>0</v>
      </c>
      <c r="D79">
        <f>--(SUMPRODUCT((Data!$C$2:$C$53="K12")*((Data!$A$2:$A$53 - Settings!$B$4/24) &lt;= A79)*((Data!$B$2:$B$53 + Settings!$B$4/24) &gt; A79))&gt;0)</f>
        <v>0</v>
      </c>
      <c r="E79">
        <f>--(SUMPRODUCT((Data!$C$2:$C$53="K12B")*((Data!$A$2:$A$53 - Settings!$B$4/24) &lt;= A79)*((Data!$B$2:$B$53 + Settings!$B$4/24) &gt; A79))&gt;0)</f>
        <v>0</v>
      </c>
      <c r="F79">
        <f>--(SUMPRODUCT((Data!$C$2:$C$53="TT2")*((Data!$A$2:$A$53 - Settings!$B$4/24) &lt;= A79)*((Data!$B$2:$B$53 + Settings!$B$4/24) &gt; A79))&gt;0)</f>
        <v>0</v>
      </c>
    </row>
    <row r="80" spans="1:6" ht="15.6" x14ac:dyDescent="0.3">
      <c r="A80" s="1">
        <v>45935.250347222223</v>
      </c>
      <c r="B80">
        <f>--(SUMPRODUCT((Data!$C$2:$C$53="K12C")*((Data!$A$2:$A$53 - Settings!$B$4/24) &lt;= A80)*((Data!$B$2:$B$53 + Settings!$B$4/24) &gt; A80))&gt;0)</f>
        <v>0</v>
      </c>
      <c r="C80">
        <f>--(SUMPRODUCT((Data!$C$2:$C$53="K12A")*((Data!$A$2:$A$53 - Settings!$B$4/24) &lt;= A80)*((Data!$B$2:$B$53 + Settings!$B$4/24) &gt; A80))&gt;0)</f>
        <v>0</v>
      </c>
      <c r="D80">
        <f>--(SUMPRODUCT((Data!$C$2:$C$53="K12")*((Data!$A$2:$A$53 - Settings!$B$4/24) &lt;= A80)*((Data!$B$2:$B$53 + Settings!$B$4/24) &gt; A80))&gt;0)</f>
        <v>0</v>
      </c>
      <c r="E80">
        <f>--(SUMPRODUCT((Data!$C$2:$C$53="K12B")*((Data!$A$2:$A$53 - Settings!$B$4/24) &lt;= A80)*((Data!$B$2:$B$53 + Settings!$B$4/24) &gt; A80))&gt;0)</f>
        <v>0</v>
      </c>
      <c r="F80">
        <f>--(SUMPRODUCT((Data!$C$2:$C$53="TT2")*((Data!$A$2:$A$53 - Settings!$B$4/24) &lt;= A80)*((Data!$B$2:$B$53 + Settings!$B$4/24) &gt; A80))&gt;0)</f>
        <v>0</v>
      </c>
    </row>
    <row r="81" spans="1:6" ht="15.6" x14ac:dyDescent="0.3">
      <c r="A81" s="1">
        <v>45935.292013888888</v>
      </c>
      <c r="B81">
        <f>--(SUMPRODUCT((Data!$C$2:$C$53="K12C")*((Data!$A$2:$A$53 - Settings!$B$4/24) &lt;= A81)*((Data!$B$2:$B$53 + Settings!$B$4/24) &gt; A81))&gt;0)</f>
        <v>0</v>
      </c>
      <c r="C81">
        <f>--(SUMPRODUCT((Data!$C$2:$C$53="K12A")*((Data!$A$2:$A$53 - Settings!$B$4/24) &lt;= A81)*((Data!$B$2:$B$53 + Settings!$B$4/24) &gt; A81))&gt;0)</f>
        <v>0</v>
      </c>
      <c r="D81">
        <f>--(SUMPRODUCT((Data!$C$2:$C$53="K12")*((Data!$A$2:$A$53 - Settings!$B$4/24) &lt;= A81)*((Data!$B$2:$B$53 + Settings!$B$4/24) &gt; A81))&gt;0)</f>
        <v>0</v>
      </c>
      <c r="E81">
        <f>--(SUMPRODUCT((Data!$C$2:$C$53="K12B")*((Data!$A$2:$A$53 - Settings!$B$4/24) &lt;= A81)*((Data!$B$2:$B$53 + Settings!$B$4/24) &gt; A81))&gt;0)</f>
        <v>0</v>
      </c>
      <c r="F81">
        <f>--(SUMPRODUCT((Data!$C$2:$C$53="TT2")*((Data!$A$2:$A$53 - Settings!$B$4/24) &lt;= A81)*((Data!$B$2:$B$53 + Settings!$B$4/24) &gt; A81))&gt;0)</f>
        <v>0</v>
      </c>
    </row>
    <row r="82" spans="1:6" ht="15.6" x14ac:dyDescent="0.3">
      <c r="A82" s="1">
        <v>45935.333680555559</v>
      </c>
      <c r="B82">
        <f>--(SUMPRODUCT((Data!$C$2:$C$53="K12C")*((Data!$A$2:$A$53 - Settings!$B$4/24) &lt;= A82)*((Data!$B$2:$B$53 + Settings!$B$4/24) &gt; A82))&gt;0)</f>
        <v>0</v>
      </c>
      <c r="C82">
        <f>--(SUMPRODUCT((Data!$C$2:$C$53="K12A")*((Data!$A$2:$A$53 - Settings!$B$4/24) &lt;= A82)*((Data!$B$2:$B$53 + Settings!$B$4/24) &gt; A82))&gt;0)</f>
        <v>0</v>
      </c>
      <c r="D82">
        <f>--(SUMPRODUCT((Data!$C$2:$C$53="K12")*((Data!$A$2:$A$53 - Settings!$B$4/24) &lt;= A82)*((Data!$B$2:$B$53 + Settings!$B$4/24) &gt; A82))&gt;0)</f>
        <v>0</v>
      </c>
      <c r="E82">
        <f>--(SUMPRODUCT((Data!$C$2:$C$53="K12B")*((Data!$A$2:$A$53 - Settings!$B$4/24) &lt;= A82)*((Data!$B$2:$B$53 + Settings!$B$4/24) &gt; A82))&gt;0)</f>
        <v>0</v>
      </c>
      <c r="F82">
        <f>--(SUMPRODUCT((Data!$C$2:$C$53="TT2")*((Data!$A$2:$A$53 - Settings!$B$4/24) &lt;= A82)*((Data!$B$2:$B$53 + Settings!$B$4/24) &gt; A82))&gt;0)</f>
        <v>0</v>
      </c>
    </row>
    <row r="83" spans="1:6" ht="15.6" x14ac:dyDescent="0.3">
      <c r="A83" s="1">
        <v>45935.375347222223</v>
      </c>
      <c r="B83">
        <f>--(SUMPRODUCT((Data!$C$2:$C$53="K12C")*((Data!$A$2:$A$53 - Settings!$B$4/24) &lt;= A83)*((Data!$B$2:$B$53 + Settings!$B$4/24) &gt; A83))&gt;0)</f>
        <v>0</v>
      </c>
      <c r="C83">
        <f>--(SUMPRODUCT((Data!$C$2:$C$53="K12A")*((Data!$A$2:$A$53 - Settings!$B$4/24) &lt;= A83)*((Data!$B$2:$B$53 + Settings!$B$4/24) &gt; A83))&gt;0)</f>
        <v>0</v>
      </c>
      <c r="D83">
        <f>--(SUMPRODUCT((Data!$C$2:$C$53="K12")*((Data!$A$2:$A$53 - Settings!$B$4/24) &lt;= A83)*((Data!$B$2:$B$53 + Settings!$B$4/24) &gt; A83))&gt;0)</f>
        <v>0</v>
      </c>
      <c r="E83">
        <f>--(SUMPRODUCT((Data!$C$2:$C$53="K12B")*((Data!$A$2:$A$53 - Settings!$B$4/24) &lt;= A83)*((Data!$B$2:$B$53 + Settings!$B$4/24) &gt; A83))&gt;0)</f>
        <v>0</v>
      </c>
      <c r="F83">
        <f>--(SUMPRODUCT((Data!$C$2:$C$53="TT2")*((Data!$A$2:$A$53 - Settings!$B$4/24) &lt;= A83)*((Data!$B$2:$B$53 + Settings!$B$4/24) &gt; A83))&gt;0)</f>
        <v>0</v>
      </c>
    </row>
    <row r="84" spans="1:6" ht="15.6" x14ac:dyDescent="0.3">
      <c r="A84" s="1">
        <v>45935.417013888888</v>
      </c>
      <c r="B84">
        <f>--(SUMPRODUCT((Data!$C$2:$C$53="K12C")*((Data!$A$2:$A$53 - Settings!$B$4/24) &lt;= A84)*((Data!$B$2:$B$53 + Settings!$B$4/24) &gt; A84))&gt;0)</f>
        <v>0</v>
      </c>
      <c r="C84">
        <f>--(SUMPRODUCT((Data!$C$2:$C$53="K12A")*((Data!$A$2:$A$53 - Settings!$B$4/24) &lt;= A84)*((Data!$B$2:$B$53 + Settings!$B$4/24) &gt; A84))&gt;0)</f>
        <v>0</v>
      </c>
      <c r="D84">
        <f>--(SUMPRODUCT((Data!$C$2:$C$53="K12")*((Data!$A$2:$A$53 - Settings!$B$4/24) &lt;= A84)*((Data!$B$2:$B$53 + Settings!$B$4/24) &gt; A84))&gt;0)</f>
        <v>0</v>
      </c>
      <c r="E84">
        <f>--(SUMPRODUCT((Data!$C$2:$C$53="K12B")*((Data!$A$2:$A$53 - Settings!$B$4/24) &lt;= A84)*((Data!$B$2:$B$53 + Settings!$B$4/24) &gt; A84))&gt;0)</f>
        <v>0</v>
      </c>
      <c r="F84">
        <f>--(SUMPRODUCT((Data!$C$2:$C$53="TT2")*((Data!$A$2:$A$53 - Settings!$B$4/24) &lt;= A84)*((Data!$B$2:$B$53 + Settings!$B$4/24) &gt; A84))&gt;0)</f>
        <v>0</v>
      </c>
    </row>
    <row r="85" spans="1:6" ht="15.6" x14ac:dyDescent="0.3">
      <c r="A85" s="1">
        <v>45935.458680555559</v>
      </c>
      <c r="B85">
        <f>--(SUMPRODUCT((Data!$C$2:$C$53="K12C")*((Data!$A$2:$A$53 - Settings!$B$4/24) &lt;= A85)*((Data!$B$2:$B$53 + Settings!$B$4/24) &gt; A85))&gt;0)</f>
        <v>0</v>
      </c>
      <c r="C85">
        <f>--(SUMPRODUCT((Data!$C$2:$C$53="K12A")*((Data!$A$2:$A$53 - Settings!$B$4/24) &lt;= A85)*((Data!$B$2:$B$53 + Settings!$B$4/24) &gt; A85))&gt;0)</f>
        <v>0</v>
      </c>
      <c r="D85">
        <f>--(SUMPRODUCT((Data!$C$2:$C$53="K12")*((Data!$A$2:$A$53 - Settings!$B$4/24) &lt;= A85)*((Data!$B$2:$B$53 + Settings!$B$4/24) &gt; A85))&gt;0)</f>
        <v>0</v>
      </c>
      <c r="E85">
        <f>--(SUMPRODUCT((Data!$C$2:$C$53="K12B")*((Data!$A$2:$A$53 - Settings!$B$4/24) &lt;= A85)*((Data!$B$2:$B$53 + Settings!$B$4/24) &gt; A85))&gt;0)</f>
        <v>0</v>
      </c>
      <c r="F85">
        <f>--(SUMPRODUCT((Data!$C$2:$C$53="TT2")*((Data!$A$2:$A$53 - Settings!$B$4/24) &lt;= A85)*((Data!$B$2:$B$53 + Settings!$B$4/24) &gt; A85))&gt;0)</f>
        <v>0</v>
      </c>
    </row>
    <row r="86" spans="1:6" ht="15.6" x14ac:dyDescent="0.3">
      <c r="A86" s="1">
        <v>45935.500347222223</v>
      </c>
      <c r="B86">
        <f>--(SUMPRODUCT((Data!$C$2:$C$53="K12C")*((Data!$A$2:$A$53 - Settings!$B$4/24) &lt;= A86)*((Data!$B$2:$B$53 + Settings!$B$4/24) &gt; A86))&gt;0)</f>
        <v>0</v>
      </c>
      <c r="C86">
        <f>--(SUMPRODUCT((Data!$C$2:$C$53="K12A")*((Data!$A$2:$A$53 - Settings!$B$4/24) &lt;= A86)*((Data!$B$2:$B$53 + Settings!$B$4/24) &gt; A86))&gt;0)</f>
        <v>0</v>
      </c>
      <c r="D86">
        <f>--(SUMPRODUCT((Data!$C$2:$C$53="K12")*((Data!$A$2:$A$53 - Settings!$B$4/24) &lt;= A86)*((Data!$B$2:$B$53 + Settings!$B$4/24) &gt; A86))&gt;0)</f>
        <v>0</v>
      </c>
      <c r="E86">
        <f>--(SUMPRODUCT((Data!$C$2:$C$53="K12B")*((Data!$A$2:$A$53 - Settings!$B$4/24) &lt;= A86)*((Data!$B$2:$B$53 + Settings!$B$4/24) &gt; A86))&gt;0)</f>
        <v>0</v>
      </c>
      <c r="F86">
        <f>--(SUMPRODUCT((Data!$C$2:$C$53="TT2")*((Data!$A$2:$A$53 - Settings!$B$4/24) &lt;= A86)*((Data!$B$2:$B$53 + Settings!$B$4/24) &gt; A86))&gt;0)</f>
        <v>0</v>
      </c>
    </row>
    <row r="87" spans="1:6" ht="15.6" x14ac:dyDescent="0.3">
      <c r="A87" s="1">
        <v>45935.542013888888</v>
      </c>
      <c r="B87">
        <f>--(SUMPRODUCT((Data!$C$2:$C$53="K12C")*((Data!$A$2:$A$53 - Settings!$B$4/24) &lt;= A87)*((Data!$B$2:$B$53 + Settings!$B$4/24) &gt; A87))&gt;0)</f>
        <v>0</v>
      </c>
      <c r="C87">
        <f>--(SUMPRODUCT((Data!$C$2:$C$53="K12A")*((Data!$A$2:$A$53 - Settings!$B$4/24) &lt;= A87)*((Data!$B$2:$B$53 + Settings!$B$4/24) &gt; A87))&gt;0)</f>
        <v>0</v>
      </c>
      <c r="D87">
        <f>--(SUMPRODUCT((Data!$C$2:$C$53="K12")*((Data!$A$2:$A$53 - Settings!$B$4/24) &lt;= A87)*((Data!$B$2:$B$53 + Settings!$B$4/24) &gt; A87))&gt;0)</f>
        <v>0</v>
      </c>
      <c r="E87">
        <f>--(SUMPRODUCT((Data!$C$2:$C$53="K12B")*((Data!$A$2:$A$53 - Settings!$B$4/24) &lt;= A87)*((Data!$B$2:$B$53 + Settings!$B$4/24) &gt; A87))&gt;0)</f>
        <v>0</v>
      </c>
      <c r="F87">
        <f>--(SUMPRODUCT((Data!$C$2:$C$53="TT2")*((Data!$A$2:$A$53 - Settings!$B$4/24) &lt;= A87)*((Data!$B$2:$B$53 + Settings!$B$4/24) &gt; A87))&gt;0)</f>
        <v>0</v>
      </c>
    </row>
    <row r="88" spans="1:6" ht="15.6" x14ac:dyDescent="0.3">
      <c r="A88" s="1">
        <v>45935.583680555559</v>
      </c>
      <c r="B88">
        <f>--(SUMPRODUCT((Data!$C$2:$C$53="K12C")*((Data!$A$2:$A$53 - Settings!$B$4/24) &lt;= A88)*((Data!$B$2:$B$53 + Settings!$B$4/24) &gt; A88))&gt;0)</f>
        <v>0</v>
      </c>
      <c r="C88">
        <f>--(SUMPRODUCT((Data!$C$2:$C$53="K12A")*((Data!$A$2:$A$53 - Settings!$B$4/24) &lt;= A88)*((Data!$B$2:$B$53 + Settings!$B$4/24) &gt; A88))&gt;0)</f>
        <v>0</v>
      </c>
      <c r="D88">
        <f>--(SUMPRODUCT((Data!$C$2:$C$53="K12")*((Data!$A$2:$A$53 - Settings!$B$4/24) &lt;= A88)*((Data!$B$2:$B$53 + Settings!$B$4/24) &gt; A88))&gt;0)</f>
        <v>0</v>
      </c>
      <c r="E88">
        <f>--(SUMPRODUCT((Data!$C$2:$C$53="K12B")*((Data!$A$2:$A$53 - Settings!$B$4/24) &lt;= A88)*((Data!$B$2:$B$53 + Settings!$B$4/24) &gt; A88))&gt;0)</f>
        <v>0</v>
      </c>
      <c r="F88">
        <f>--(SUMPRODUCT((Data!$C$2:$C$53="TT2")*((Data!$A$2:$A$53 - Settings!$B$4/24) &lt;= A88)*((Data!$B$2:$B$53 + Settings!$B$4/24) &gt; A88))&gt;0)</f>
        <v>0</v>
      </c>
    </row>
    <row r="89" spans="1:6" ht="15.6" x14ac:dyDescent="0.3">
      <c r="A89" s="1">
        <v>45935.625347222223</v>
      </c>
      <c r="B89">
        <f>--(SUMPRODUCT((Data!$C$2:$C$53="K12C")*((Data!$A$2:$A$53 - Settings!$B$4/24) &lt;= A89)*((Data!$B$2:$B$53 + Settings!$B$4/24) &gt; A89))&gt;0)</f>
        <v>0</v>
      </c>
      <c r="C89">
        <f>--(SUMPRODUCT((Data!$C$2:$C$53="K12A")*((Data!$A$2:$A$53 - Settings!$B$4/24) &lt;= A89)*((Data!$B$2:$B$53 + Settings!$B$4/24) &gt; A89))&gt;0)</f>
        <v>0</v>
      </c>
      <c r="D89">
        <f>--(SUMPRODUCT((Data!$C$2:$C$53="K12")*((Data!$A$2:$A$53 - Settings!$B$4/24) &lt;= A89)*((Data!$B$2:$B$53 + Settings!$B$4/24) &gt; A89))&gt;0)</f>
        <v>0</v>
      </c>
      <c r="E89">
        <f>--(SUMPRODUCT((Data!$C$2:$C$53="K12B")*((Data!$A$2:$A$53 - Settings!$B$4/24) &lt;= A89)*((Data!$B$2:$B$53 + Settings!$B$4/24) &gt; A89))&gt;0)</f>
        <v>0</v>
      </c>
      <c r="F89">
        <f>--(SUMPRODUCT((Data!$C$2:$C$53="TT2")*((Data!$A$2:$A$53 - Settings!$B$4/24) &lt;= A89)*((Data!$B$2:$B$53 + Settings!$B$4/24) &gt; A89))&gt;0)</f>
        <v>0</v>
      </c>
    </row>
    <row r="90" spans="1:6" ht="15.6" x14ac:dyDescent="0.3">
      <c r="A90" s="1">
        <v>45935.667013888888</v>
      </c>
      <c r="B90">
        <f>--(SUMPRODUCT((Data!$C$2:$C$53="K12C")*((Data!$A$2:$A$53 - Settings!$B$4/24) &lt;= A90)*((Data!$B$2:$B$53 + Settings!$B$4/24) &gt; A90))&gt;0)</f>
        <v>0</v>
      </c>
      <c r="C90">
        <f>--(SUMPRODUCT((Data!$C$2:$C$53="K12A")*((Data!$A$2:$A$53 - Settings!$B$4/24) &lt;= A90)*((Data!$B$2:$B$53 + Settings!$B$4/24) &gt; A90))&gt;0)</f>
        <v>0</v>
      </c>
      <c r="D90">
        <f>--(SUMPRODUCT((Data!$C$2:$C$53="K12")*((Data!$A$2:$A$53 - Settings!$B$4/24) &lt;= A90)*((Data!$B$2:$B$53 + Settings!$B$4/24) &gt; A90))&gt;0)</f>
        <v>0</v>
      </c>
      <c r="E90">
        <f>--(SUMPRODUCT((Data!$C$2:$C$53="K12B")*((Data!$A$2:$A$53 - Settings!$B$4/24) &lt;= A90)*((Data!$B$2:$B$53 + Settings!$B$4/24) &gt; A90))&gt;0)</f>
        <v>0</v>
      </c>
      <c r="F90">
        <f>--(SUMPRODUCT((Data!$C$2:$C$53="TT2")*((Data!$A$2:$A$53 - Settings!$B$4/24) &lt;= A90)*((Data!$B$2:$B$53 + Settings!$B$4/24) &gt; A90))&gt;0)</f>
        <v>0</v>
      </c>
    </row>
    <row r="91" spans="1:6" ht="15.6" x14ac:dyDescent="0.3">
      <c r="A91" s="1">
        <v>45935.708680555559</v>
      </c>
      <c r="B91">
        <f>--(SUMPRODUCT((Data!$C$2:$C$53="K12C")*((Data!$A$2:$A$53 - Settings!$B$4/24) &lt;= A91)*((Data!$B$2:$B$53 + Settings!$B$4/24) &gt; A91))&gt;0)</f>
        <v>0</v>
      </c>
      <c r="C91">
        <f>--(SUMPRODUCT((Data!$C$2:$C$53="K12A")*((Data!$A$2:$A$53 - Settings!$B$4/24) &lt;= A91)*((Data!$B$2:$B$53 + Settings!$B$4/24) &gt; A91))&gt;0)</f>
        <v>0</v>
      </c>
      <c r="D91">
        <f>--(SUMPRODUCT((Data!$C$2:$C$53="K12")*((Data!$A$2:$A$53 - Settings!$B$4/24) &lt;= A91)*((Data!$B$2:$B$53 + Settings!$B$4/24) &gt; A91))&gt;0)</f>
        <v>0</v>
      </c>
      <c r="E91">
        <f>--(SUMPRODUCT((Data!$C$2:$C$53="K12B")*((Data!$A$2:$A$53 - Settings!$B$4/24) &lt;= A91)*((Data!$B$2:$B$53 + Settings!$B$4/24) &gt; A91))&gt;0)</f>
        <v>0</v>
      </c>
      <c r="F91">
        <f>--(SUMPRODUCT((Data!$C$2:$C$53="TT2")*((Data!$A$2:$A$53 - Settings!$B$4/24) &lt;= A91)*((Data!$B$2:$B$53 + Settings!$B$4/24) &gt; A91))&gt;0)</f>
        <v>0</v>
      </c>
    </row>
    <row r="92" spans="1:6" ht="15.6" x14ac:dyDescent="0.3">
      <c r="A92" s="1">
        <v>45935.750347222223</v>
      </c>
      <c r="B92">
        <f>--(SUMPRODUCT((Data!$C$2:$C$53="K12C")*((Data!$A$2:$A$53 - Settings!$B$4/24) &lt;= A92)*((Data!$B$2:$B$53 + Settings!$B$4/24) &gt; A92))&gt;0)</f>
        <v>0</v>
      </c>
      <c r="C92">
        <f>--(SUMPRODUCT((Data!$C$2:$C$53="K12A")*((Data!$A$2:$A$53 - Settings!$B$4/24) &lt;= A92)*((Data!$B$2:$B$53 + Settings!$B$4/24) &gt; A92))&gt;0)</f>
        <v>0</v>
      </c>
      <c r="D92">
        <f>--(SUMPRODUCT((Data!$C$2:$C$53="K12")*((Data!$A$2:$A$53 - Settings!$B$4/24) &lt;= A92)*((Data!$B$2:$B$53 + Settings!$B$4/24) &gt; A92))&gt;0)</f>
        <v>0</v>
      </c>
      <c r="E92">
        <f>--(SUMPRODUCT((Data!$C$2:$C$53="K12B")*((Data!$A$2:$A$53 - Settings!$B$4/24) &lt;= A92)*((Data!$B$2:$B$53 + Settings!$B$4/24) &gt; A92))&gt;0)</f>
        <v>0</v>
      </c>
      <c r="F92">
        <f>--(SUMPRODUCT((Data!$C$2:$C$53="TT2")*((Data!$A$2:$A$53 - Settings!$B$4/24) &lt;= A92)*((Data!$B$2:$B$53 + Settings!$B$4/24) &gt; A92))&gt;0)</f>
        <v>0</v>
      </c>
    </row>
    <row r="93" spans="1:6" ht="15.6" x14ac:dyDescent="0.3">
      <c r="A93" s="1">
        <v>45935.792013888888</v>
      </c>
      <c r="B93">
        <f>--(SUMPRODUCT((Data!$C$2:$C$53="K12C")*((Data!$A$2:$A$53 - Settings!$B$4/24) &lt;= A93)*((Data!$B$2:$B$53 + Settings!$B$4/24) &gt; A93))&gt;0)</f>
        <v>0</v>
      </c>
      <c r="C93">
        <f>--(SUMPRODUCT((Data!$C$2:$C$53="K12A")*((Data!$A$2:$A$53 - Settings!$B$4/24) &lt;= A93)*((Data!$B$2:$B$53 + Settings!$B$4/24) &gt; A93))&gt;0)</f>
        <v>0</v>
      </c>
      <c r="D93">
        <f>--(SUMPRODUCT((Data!$C$2:$C$53="K12")*((Data!$A$2:$A$53 - Settings!$B$4/24) &lt;= A93)*((Data!$B$2:$B$53 + Settings!$B$4/24) &gt; A93))&gt;0)</f>
        <v>0</v>
      </c>
      <c r="E93">
        <f>--(SUMPRODUCT((Data!$C$2:$C$53="K12B")*((Data!$A$2:$A$53 - Settings!$B$4/24) &lt;= A93)*((Data!$B$2:$B$53 + Settings!$B$4/24) &gt; A93))&gt;0)</f>
        <v>0</v>
      </c>
      <c r="F93">
        <f>--(SUMPRODUCT((Data!$C$2:$C$53="TT2")*((Data!$A$2:$A$53 - Settings!$B$4/24) &lt;= A93)*((Data!$B$2:$B$53 + Settings!$B$4/24) &gt; A93))&gt;0)</f>
        <v>0</v>
      </c>
    </row>
    <row r="94" spans="1:6" ht="15.6" x14ac:dyDescent="0.3">
      <c r="A94" s="1">
        <v>45935.833680555559</v>
      </c>
      <c r="B94">
        <f>--(SUMPRODUCT((Data!$C$2:$C$53="K12C")*((Data!$A$2:$A$53 - Settings!$B$4/24) &lt;= A94)*((Data!$B$2:$B$53 + Settings!$B$4/24) &gt; A94))&gt;0)</f>
        <v>0</v>
      </c>
      <c r="C94">
        <f>--(SUMPRODUCT((Data!$C$2:$C$53="K12A")*((Data!$A$2:$A$53 - Settings!$B$4/24) &lt;= A94)*((Data!$B$2:$B$53 + Settings!$B$4/24) &gt; A94))&gt;0)</f>
        <v>0</v>
      </c>
      <c r="D94">
        <f>--(SUMPRODUCT((Data!$C$2:$C$53="K12")*((Data!$A$2:$A$53 - Settings!$B$4/24) &lt;= A94)*((Data!$B$2:$B$53 + Settings!$B$4/24) &gt; A94))&gt;0)</f>
        <v>0</v>
      </c>
      <c r="E94">
        <f>--(SUMPRODUCT((Data!$C$2:$C$53="K12B")*((Data!$A$2:$A$53 - Settings!$B$4/24) &lt;= A94)*((Data!$B$2:$B$53 + Settings!$B$4/24) &gt; A94))&gt;0)</f>
        <v>0</v>
      </c>
      <c r="F94">
        <f>--(SUMPRODUCT((Data!$C$2:$C$53="TT2")*((Data!$A$2:$A$53 - Settings!$B$4/24) &lt;= A94)*((Data!$B$2:$B$53 + Settings!$B$4/24) &gt; A94))&gt;0)</f>
        <v>0</v>
      </c>
    </row>
    <row r="95" spans="1:6" ht="15.6" x14ac:dyDescent="0.3">
      <c r="A95" s="1">
        <v>45935.875347222223</v>
      </c>
      <c r="B95">
        <f>--(SUMPRODUCT((Data!$C$2:$C$53="K12C")*((Data!$A$2:$A$53 - Settings!$B$4/24) &lt;= A95)*((Data!$B$2:$B$53 + Settings!$B$4/24) &gt; A95))&gt;0)</f>
        <v>0</v>
      </c>
      <c r="C95">
        <f>--(SUMPRODUCT((Data!$C$2:$C$53="K12A")*((Data!$A$2:$A$53 - Settings!$B$4/24) &lt;= A95)*((Data!$B$2:$B$53 + Settings!$B$4/24) &gt; A95))&gt;0)</f>
        <v>0</v>
      </c>
      <c r="D95">
        <f>--(SUMPRODUCT((Data!$C$2:$C$53="K12")*((Data!$A$2:$A$53 - Settings!$B$4/24) &lt;= A95)*((Data!$B$2:$B$53 + Settings!$B$4/24) &gt; A95))&gt;0)</f>
        <v>0</v>
      </c>
      <c r="E95">
        <f>--(SUMPRODUCT((Data!$C$2:$C$53="K12B")*((Data!$A$2:$A$53 - Settings!$B$4/24) &lt;= A95)*((Data!$B$2:$B$53 + Settings!$B$4/24) &gt; A95))&gt;0)</f>
        <v>0</v>
      </c>
      <c r="F95">
        <f>--(SUMPRODUCT((Data!$C$2:$C$53="TT2")*((Data!$A$2:$A$53 - Settings!$B$4/24) &lt;= A95)*((Data!$B$2:$B$53 + Settings!$B$4/24) &gt; A95))&gt;0)</f>
        <v>0</v>
      </c>
    </row>
    <row r="96" spans="1:6" ht="15.6" x14ac:dyDescent="0.3">
      <c r="A96" s="1">
        <v>45935.917013888888</v>
      </c>
      <c r="B96">
        <f>--(SUMPRODUCT((Data!$C$2:$C$53="K12C")*((Data!$A$2:$A$53 - Settings!$B$4/24) &lt;= A96)*((Data!$B$2:$B$53 + Settings!$B$4/24) &gt; A96))&gt;0)</f>
        <v>0</v>
      </c>
      <c r="C96">
        <f>--(SUMPRODUCT((Data!$C$2:$C$53="K12A")*((Data!$A$2:$A$53 - Settings!$B$4/24) &lt;= A96)*((Data!$B$2:$B$53 + Settings!$B$4/24) &gt; A96))&gt;0)</f>
        <v>0</v>
      </c>
      <c r="D96">
        <f>--(SUMPRODUCT((Data!$C$2:$C$53="K12")*((Data!$A$2:$A$53 - Settings!$B$4/24) &lt;= A96)*((Data!$B$2:$B$53 + Settings!$B$4/24) &gt; A96))&gt;0)</f>
        <v>0</v>
      </c>
      <c r="E96">
        <f>--(SUMPRODUCT((Data!$C$2:$C$53="K12B")*((Data!$A$2:$A$53 - Settings!$B$4/24) &lt;= A96)*((Data!$B$2:$B$53 + Settings!$B$4/24) &gt; A96))&gt;0)</f>
        <v>0</v>
      </c>
      <c r="F96">
        <f>--(SUMPRODUCT((Data!$C$2:$C$53="TT2")*((Data!$A$2:$A$53 - Settings!$B$4/24) &lt;= A96)*((Data!$B$2:$B$53 + Settings!$B$4/24) &gt; A96))&gt;0)</f>
        <v>0</v>
      </c>
    </row>
    <row r="97" spans="1:6" ht="15.6" x14ac:dyDescent="0.3">
      <c r="A97" s="1">
        <v>45935.958680555559</v>
      </c>
      <c r="B97">
        <f>--(SUMPRODUCT((Data!$C$2:$C$53="K12C")*((Data!$A$2:$A$53 - Settings!$B$4/24) &lt;= A97)*((Data!$B$2:$B$53 + Settings!$B$4/24) &gt; A97))&gt;0)</f>
        <v>0</v>
      </c>
      <c r="C97">
        <f>--(SUMPRODUCT((Data!$C$2:$C$53="K12A")*((Data!$A$2:$A$53 - Settings!$B$4/24) &lt;= A97)*((Data!$B$2:$B$53 + Settings!$B$4/24) &gt; A97))&gt;0)</f>
        <v>0</v>
      </c>
      <c r="D97">
        <f>--(SUMPRODUCT((Data!$C$2:$C$53="K12")*((Data!$A$2:$A$53 - Settings!$B$4/24) &lt;= A97)*((Data!$B$2:$B$53 + Settings!$B$4/24) &gt; A97))&gt;0)</f>
        <v>0</v>
      </c>
      <c r="E97">
        <f>--(SUMPRODUCT((Data!$C$2:$C$53="K12B")*((Data!$A$2:$A$53 - Settings!$B$4/24) &lt;= A97)*((Data!$B$2:$B$53 + Settings!$B$4/24) &gt; A97))&gt;0)</f>
        <v>0</v>
      </c>
      <c r="F97">
        <f>--(SUMPRODUCT((Data!$C$2:$C$53="TT2")*((Data!$A$2:$A$53 - Settings!$B$4/24) &lt;= A97)*((Data!$B$2:$B$53 + Settings!$B$4/24) &gt; A97))&gt;0)</f>
        <v>0</v>
      </c>
    </row>
    <row r="98" spans="1:6" ht="15.6" x14ac:dyDescent="0.3">
      <c r="A98" s="1">
        <v>45936.000347222223</v>
      </c>
      <c r="B98">
        <f>--(SUMPRODUCT((Data!$C$2:$C$53="K12C")*((Data!$A$2:$A$53 - Settings!$B$4/24) &lt;= A98)*((Data!$B$2:$B$53 + Settings!$B$4/24) &gt; A98))&gt;0)</f>
        <v>0</v>
      </c>
      <c r="C98">
        <f>--(SUMPRODUCT((Data!$C$2:$C$53="K12A")*((Data!$A$2:$A$53 - Settings!$B$4/24) &lt;= A98)*((Data!$B$2:$B$53 + Settings!$B$4/24) &gt; A98))&gt;0)</f>
        <v>0</v>
      </c>
      <c r="D98">
        <f>--(SUMPRODUCT((Data!$C$2:$C$53="K12")*((Data!$A$2:$A$53 - Settings!$B$4/24) &lt;= A98)*((Data!$B$2:$B$53 + Settings!$B$4/24) &gt; A98))&gt;0)</f>
        <v>0</v>
      </c>
      <c r="E98">
        <f>--(SUMPRODUCT((Data!$C$2:$C$53="K12B")*((Data!$A$2:$A$53 - Settings!$B$4/24) &lt;= A98)*((Data!$B$2:$B$53 + Settings!$B$4/24) &gt; A98))&gt;0)</f>
        <v>0</v>
      </c>
      <c r="F98">
        <f>--(SUMPRODUCT((Data!$C$2:$C$53="TT2")*((Data!$A$2:$A$53 - Settings!$B$4/24) &lt;= A98)*((Data!$B$2:$B$53 + Settings!$B$4/24) &gt; A98))&gt;0)</f>
        <v>0</v>
      </c>
    </row>
    <row r="99" spans="1:6" ht="15.6" x14ac:dyDescent="0.3">
      <c r="A99" s="1">
        <v>45936.042013888888</v>
      </c>
      <c r="B99">
        <f>--(SUMPRODUCT((Data!$C$2:$C$53="K12C")*((Data!$A$2:$A$53 - Settings!$B$4/24) &lt;= A99)*((Data!$B$2:$B$53 + Settings!$B$4/24) &gt; A99))&gt;0)</f>
        <v>0</v>
      </c>
      <c r="C99">
        <f>--(SUMPRODUCT((Data!$C$2:$C$53="K12A")*((Data!$A$2:$A$53 - Settings!$B$4/24) &lt;= A99)*((Data!$B$2:$B$53 + Settings!$B$4/24) &gt; A99))&gt;0)</f>
        <v>0</v>
      </c>
      <c r="D99">
        <f>--(SUMPRODUCT((Data!$C$2:$C$53="K12")*((Data!$A$2:$A$53 - Settings!$B$4/24) &lt;= A99)*((Data!$B$2:$B$53 + Settings!$B$4/24) &gt; A99))&gt;0)</f>
        <v>0</v>
      </c>
      <c r="E99">
        <f>--(SUMPRODUCT((Data!$C$2:$C$53="K12B")*((Data!$A$2:$A$53 - Settings!$B$4/24) &lt;= A99)*((Data!$B$2:$B$53 + Settings!$B$4/24) &gt; A99))&gt;0)</f>
        <v>0</v>
      </c>
      <c r="F99">
        <f>--(SUMPRODUCT((Data!$C$2:$C$53="TT2")*((Data!$A$2:$A$53 - Settings!$B$4/24) &lt;= A99)*((Data!$B$2:$B$53 + Settings!$B$4/24) &gt; A99))&gt;0)</f>
        <v>0</v>
      </c>
    </row>
    <row r="100" spans="1:6" ht="15.6" x14ac:dyDescent="0.3">
      <c r="A100" s="1">
        <v>45936.083680555559</v>
      </c>
      <c r="B100">
        <f>--(SUMPRODUCT((Data!$C$2:$C$53="K12C")*((Data!$A$2:$A$53 - Settings!$B$4/24) &lt;= A100)*((Data!$B$2:$B$53 + Settings!$B$4/24) &gt; A100))&gt;0)</f>
        <v>0</v>
      </c>
      <c r="C100">
        <f>--(SUMPRODUCT((Data!$C$2:$C$53="K12A")*((Data!$A$2:$A$53 - Settings!$B$4/24) &lt;= A100)*((Data!$B$2:$B$53 + Settings!$B$4/24) &gt; A100))&gt;0)</f>
        <v>0</v>
      </c>
      <c r="D100">
        <f>--(SUMPRODUCT((Data!$C$2:$C$53="K12")*((Data!$A$2:$A$53 - Settings!$B$4/24) &lt;= A100)*((Data!$B$2:$B$53 + Settings!$B$4/24) &gt; A100))&gt;0)</f>
        <v>0</v>
      </c>
      <c r="E100">
        <f>--(SUMPRODUCT((Data!$C$2:$C$53="K12B")*((Data!$A$2:$A$53 - Settings!$B$4/24) &lt;= A100)*((Data!$B$2:$B$53 + Settings!$B$4/24) &gt; A100))&gt;0)</f>
        <v>0</v>
      </c>
      <c r="F100">
        <f>--(SUMPRODUCT((Data!$C$2:$C$53="TT2")*((Data!$A$2:$A$53 - Settings!$B$4/24) &lt;= A100)*((Data!$B$2:$B$53 + Settings!$B$4/24) &gt; A100))&gt;0)</f>
        <v>0</v>
      </c>
    </row>
    <row r="101" spans="1:6" ht="15.6" x14ac:dyDescent="0.3">
      <c r="A101" s="1">
        <v>45936.125347222223</v>
      </c>
      <c r="B101">
        <f>--(SUMPRODUCT((Data!$C$2:$C$53="K12C")*((Data!$A$2:$A$53 - Settings!$B$4/24) &lt;= A101)*((Data!$B$2:$B$53 + Settings!$B$4/24) &gt; A101))&gt;0)</f>
        <v>0</v>
      </c>
      <c r="C101">
        <f>--(SUMPRODUCT((Data!$C$2:$C$53="K12A")*((Data!$A$2:$A$53 - Settings!$B$4/24) &lt;= A101)*((Data!$B$2:$B$53 + Settings!$B$4/24) &gt; A101))&gt;0)</f>
        <v>0</v>
      </c>
      <c r="D101">
        <f>--(SUMPRODUCT((Data!$C$2:$C$53="K12")*((Data!$A$2:$A$53 - Settings!$B$4/24) &lt;= A101)*((Data!$B$2:$B$53 + Settings!$B$4/24) &gt; A101))&gt;0)</f>
        <v>0</v>
      </c>
      <c r="E101">
        <f>--(SUMPRODUCT((Data!$C$2:$C$53="K12B")*((Data!$A$2:$A$53 - Settings!$B$4/24) &lt;= A101)*((Data!$B$2:$B$53 + Settings!$B$4/24) &gt; A101))&gt;0)</f>
        <v>0</v>
      </c>
      <c r="F101">
        <f>--(SUMPRODUCT((Data!$C$2:$C$53="TT2")*((Data!$A$2:$A$53 - Settings!$B$4/24) &lt;= A101)*((Data!$B$2:$B$53 + Settings!$B$4/24) &gt; A101))&gt;0)</f>
        <v>0</v>
      </c>
    </row>
    <row r="102" spans="1:6" ht="15.6" x14ac:dyDescent="0.3">
      <c r="A102" s="1">
        <v>45936.167013888888</v>
      </c>
      <c r="B102">
        <f>--(SUMPRODUCT((Data!$C$2:$C$53="K12C")*((Data!$A$2:$A$53 - Settings!$B$4/24) &lt;= A102)*((Data!$B$2:$B$53 + Settings!$B$4/24) &gt; A102))&gt;0)</f>
        <v>0</v>
      </c>
      <c r="C102">
        <f>--(SUMPRODUCT((Data!$C$2:$C$53="K12A")*((Data!$A$2:$A$53 - Settings!$B$4/24) &lt;= A102)*((Data!$B$2:$B$53 + Settings!$B$4/24) &gt; A102))&gt;0)</f>
        <v>0</v>
      </c>
      <c r="D102">
        <f>--(SUMPRODUCT((Data!$C$2:$C$53="K12")*((Data!$A$2:$A$53 - Settings!$B$4/24) &lt;= A102)*((Data!$B$2:$B$53 + Settings!$B$4/24) &gt; A102))&gt;0)</f>
        <v>0</v>
      </c>
      <c r="E102">
        <f>--(SUMPRODUCT((Data!$C$2:$C$53="K12B")*((Data!$A$2:$A$53 - Settings!$B$4/24) &lt;= A102)*((Data!$B$2:$B$53 + Settings!$B$4/24) &gt; A102))&gt;0)</f>
        <v>0</v>
      </c>
      <c r="F102">
        <f>--(SUMPRODUCT((Data!$C$2:$C$53="TT2")*((Data!$A$2:$A$53 - Settings!$B$4/24) &lt;= A102)*((Data!$B$2:$B$53 + Settings!$B$4/24) &gt; A102))&gt;0)</f>
        <v>0</v>
      </c>
    </row>
    <row r="103" spans="1:6" ht="15.6" x14ac:dyDescent="0.3">
      <c r="A103" s="1">
        <v>45936.208680555559</v>
      </c>
      <c r="B103">
        <f>--(SUMPRODUCT((Data!$C$2:$C$53="K12C")*((Data!$A$2:$A$53 - Settings!$B$4/24) &lt;= A103)*((Data!$B$2:$B$53 + Settings!$B$4/24) &gt; A103))&gt;0)</f>
        <v>0</v>
      </c>
      <c r="C103">
        <f>--(SUMPRODUCT((Data!$C$2:$C$53="K12A")*((Data!$A$2:$A$53 - Settings!$B$4/24) &lt;= A103)*((Data!$B$2:$B$53 + Settings!$B$4/24) &gt; A103))&gt;0)</f>
        <v>0</v>
      </c>
      <c r="D103">
        <f>--(SUMPRODUCT((Data!$C$2:$C$53="K12")*((Data!$A$2:$A$53 - Settings!$B$4/24) &lt;= A103)*((Data!$B$2:$B$53 + Settings!$B$4/24) &gt; A103))&gt;0)</f>
        <v>0</v>
      </c>
      <c r="E103">
        <f>--(SUMPRODUCT((Data!$C$2:$C$53="K12B")*((Data!$A$2:$A$53 - Settings!$B$4/24) &lt;= A103)*((Data!$B$2:$B$53 + Settings!$B$4/24) &gt; A103))&gt;0)</f>
        <v>0</v>
      </c>
      <c r="F103">
        <f>--(SUMPRODUCT((Data!$C$2:$C$53="TT2")*((Data!$A$2:$A$53 - Settings!$B$4/24) &lt;= A103)*((Data!$B$2:$B$53 + Settings!$B$4/24) &gt; A103))&gt;0)</f>
        <v>0</v>
      </c>
    </row>
    <row r="104" spans="1:6" ht="15.6" x14ac:dyDescent="0.3">
      <c r="A104" s="1">
        <v>45936.250347222223</v>
      </c>
      <c r="B104">
        <f>--(SUMPRODUCT((Data!$C$2:$C$53="K12C")*((Data!$A$2:$A$53 - Settings!$B$4/24) &lt;= A104)*((Data!$B$2:$B$53 + Settings!$B$4/24) &gt; A104))&gt;0)</f>
        <v>0</v>
      </c>
      <c r="C104">
        <f>--(SUMPRODUCT((Data!$C$2:$C$53="K12A")*((Data!$A$2:$A$53 - Settings!$B$4/24) &lt;= A104)*((Data!$B$2:$B$53 + Settings!$B$4/24) &gt; A104))&gt;0)</f>
        <v>0</v>
      </c>
      <c r="D104">
        <f>--(SUMPRODUCT((Data!$C$2:$C$53="K12")*((Data!$A$2:$A$53 - Settings!$B$4/24) &lt;= A104)*((Data!$B$2:$B$53 + Settings!$B$4/24) &gt; A104))&gt;0)</f>
        <v>0</v>
      </c>
      <c r="E104">
        <f>--(SUMPRODUCT((Data!$C$2:$C$53="K12B")*((Data!$A$2:$A$53 - Settings!$B$4/24) &lt;= A104)*((Data!$B$2:$B$53 + Settings!$B$4/24) &gt; A104))&gt;0)</f>
        <v>0</v>
      </c>
      <c r="F104">
        <f>--(SUMPRODUCT((Data!$C$2:$C$53="TT2")*((Data!$A$2:$A$53 - Settings!$B$4/24) &lt;= A104)*((Data!$B$2:$B$53 + Settings!$B$4/24) &gt; A104))&gt;0)</f>
        <v>0</v>
      </c>
    </row>
    <row r="105" spans="1:6" ht="15.6" x14ac:dyDescent="0.3">
      <c r="A105" s="1">
        <v>45936.292013888888</v>
      </c>
      <c r="B105">
        <f>--(SUMPRODUCT((Data!$C$2:$C$53="K12C")*((Data!$A$2:$A$53 - Settings!$B$4/24) &lt;= A105)*((Data!$B$2:$B$53 + Settings!$B$4/24) &gt; A105))&gt;0)</f>
        <v>0</v>
      </c>
      <c r="C105">
        <f>--(SUMPRODUCT((Data!$C$2:$C$53="K12A")*((Data!$A$2:$A$53 - Settings!$B$4/24) &lt;= A105)*((Data!$B$2:$B$53 + Settings!$B$4/24) &gt; A105))&gt;0)</f>
        <v>0</v>
      </c>
      <c r="D105">
        <f>--(SUMPRODUCT((Data!$C$2:$C$53="K12")*((Data!$A$2:$A$53 - Settings!$B$4/24) &lt;= A105)*((Data!$B$2:$B$53 + Settings!$B$4/24) &gt; A105))&gt;0)</f>
        <v>0</v>
      </c>
      <c r="E105">
        <f>--(SUMPRODUCT((Data!$C$2:$C$53="K12B")*((Data!$A$2:$A$53 - Settings!$B$4/24) &lt;= A105)*((Data!$B$2:$B$53 + Settings!$B$4/24) &gt; A105))&gt;0)</f>
        <v>0</v>
      </c>
      <c r="F105">
        <f>--(SUMPRODUCT((Data!$C$2:$C$53="TT2")*((Data!$A$2:$A$53 - Settings!$B$4/24) &lt;= A105)*((Data!$B$2:$B$53 + Settings!$B$4/24) &gt; A105))&gt;0)</f>
        <v>0</v>
      </c>
    </row>
    <row r="106" spans="1:6" ht="15.6" x14ac:dyDescent="0.3">
      <c r="A106" s="1">
        <v>45936.333680555559</v>
      </c>
      <c r="B106">
        <f>--(SUMPRODUCT((Data!$C$2:$C$53="K12C")*((Data!$A$2:$A$53 - Settings!$B$4/24) &lt;= A106)*((Data!$B$2:$B$53 + Settings!$B$4/24) &gt; A106))&gt;0)</f>
        <v>0</v>
      </c>
      <c r="C106">
        <f>--(SUMPRODUCT((Data!$C$2:$C$53="K12A")*((Data!$A$2:$A$53 - Settings!$B$4/24) &lt;= A106)*((Data!$B$2:$B$53 + Settings!$B$4/24) &gt; A106))&gt;0)</f>
        <v>0</v>
      </c>
      <c r="D106">
        <f>--(SUMPRODUCT((Data!$C$2:$C$53="K12")*((Data!$A$2:$A$53 - Settings!$B$4/24) &lt;= A106)*((Data!$B$2:$B$53 + Settings!$B$4/24) &gt; A106))&gt;0)</f>
        <v>0</v>
      </c>
      <c r="E106">
        <f>--(SUMPRODUCT((Data!$C$2:$C$53="K12B")*((Data!$A$2:$A$53 - Settings!$B$4/24) &lt;= A106)*((Data!$B$2:$B$53 + Settings!$B$4/24) &gt; A106))&gt;0)</f>
        <v>0</v>
      </c>
      <c r="F106">
        <f>--(SUMPRODUCT((Data!$C$2:$C$53="TT2")*((Data!$A$2:$A$53 - Settings!$B$4/24) &lt;= A106)*((Data!$B$2:$B$53 + Settings!$B$4/24) &gt; A106))&gt;0)</f>
        <v>0</v>
      </c>
    </row>
    <row r="107" spans="1:6" ht="15.6" x14ac:dyDescent="0.3">
      <c r="A107" s="1">
        <v>45936.375347222223</v>
      </c>
      <c r="B107">
        <f>--(SUMPRODUCT((Data!$C$2:$C$53="K12C")*((Data!$A$2:$A$53 - Settings!$B$4/24) &lt;= A107)*((Data!$B$2:$B$53 + Settings!$B$4/24) &gt; A107))&gt;0)</f>
        <v>0</v>
      </c>
      <c r="C107">
        <f>--(SUMPRODUCT((Data!$C$2:$C$53="K12A")*((Data!$A$2:$A$53 - Settings!$B$4/24) &lt;= A107)*((Data!$B$2:$B$53 + Settings!$B$4/24) &gt; A107))&gt;0)</f>
        <v>0</v>
      </c>
      <c r="D107">
        <f>--(SUMPRODUCT((Data!$C$2:$C$53="K12")*((Data!$A$2:$A$53 - Settings!$B$4/24) &lt;= A107)*((Data!$B$2:$B$53 + Settings!$B$4/24) &gt; A107))&gt;0)</f>
        <v>0</v>
      </c>
      <c r="E107">
        <f>--(SUMPRODUCT((Data!$C$2:$C$53="K12B")*((Data!$A$2:$A$53 - Settings!$B$4/24) &lt;= A107)*((Data!$B$2:$B$53 + Settings!$B$4/24) &gt; A107))&gt;0)</f>
        <v>0</v>
      </c>
      <c r="F107">
        <f>--(SUMPRODUCT((Data!$C$2:$C$53="TT2")*((Data!$A$2:$A$53 - Settings!$B$4/24) &lt;= A107)*((Data!$B$2:$B$53 + Settings!$B$4/24) &gt; A107))&gt;0)</f>
        <v>0</v>
      </c>
    </row>
    <row r="108" spans="1:6" ht="15.6" x14ac:dyDescent="0.3">
      <c r="A108" s="1">
        <v>45936.417013888888</v>
      </c>
      <c r="B108">
        <f>--(SUMPRODUCT((Data!$C$2:$C$53="K12C")*((Data!$A$2:$A$53 - Settings!$B$4/24) &lt;= A108)*((Data!$B$2:$B$53 + Settings!$B$4/24) &gt; A108))&gt;0)</f>
        <v>0</v>
      </c>
      <c r="C108">
        <f>--(SUMPRODUCT((Data!$C$2:$C$53="K12A")*((Data!$A$2:$A$53 - Settings!$B$4/24) &lt;= A108)*((Data!$B$2:$B$53 + Settings!$B$4/24) &gt; A108))&gt;0)</f>
        <v>0</v>
      </c>
      <c r="D108">
        <f>--(SUMPRODUCT((Data!$C$2:$C$53="K12")*((Data!$A$2:$A$53 - Settings!$B$4/24) &lt;= A108)*((Data!$B$2:$B$53 + Settings!$B$4/24) &gt; A108))&gt;0)</f>
        <v>0</v>
      </c>
      <c r="E108">
        <f>--(SUMPRODUCT((Data!$C$2:$C$53="K12B")*((Data!$A$2:$A$53 - Settings!$B$4/24) &lt;= A108)*((Data!$B$2:$B$53 + Settings!$B$4/24) &gt; A108))&gt;0)</f>
        <v>0</v>
      </c>
      <c r="F108">
        <f>--(SUMPRODUCT((Data!$C$2:$C$53="TT2")*((Data!$A$2:$A$53 - Settings!$B$4/24) &lt;= A108)*((Data!$B$2:$B$53 + Settings!$B$4/24) &gt; A108))&gt;0)</f>
        <v>0</v>
      </c>
    </row>
    <row r="109" spans="1:6" ht="15.6" x14ac:dyDescent="0.3">
      <c r="A109" s="1">
        <v>45936.458680555559</v>
      </c>
      <c r="B109">
        <f>--(SUMPRODUCT((Data!$C$2:$C$53="K12C")*((Data!$A$2:$A$53 - Settings!$B$4/24) &lt;= A109)*((Data!$B$2:$B$53 + Settings!$B$4/24) &gt; A109))&gt;0)</f>
        <v>0</v>
      </c>
      <c r="C109">
        <f>--(SUMPRODUCT((Data!$C$2:$C$53="K12A")*((Data!$A$2:$A$53 - Settings!$B$4/24) &lt;= A109)*((Data!$B$2:$B$53 + Settings!$B$4/24) &gt; A109))&gt;0)</f>
        <v>0</v>
      </c>
      <c r="D109">
        <f>--(SUMPRODUCT((Data!$C$2:$C$53="K12")*((Data!$A$2:$A$53 - Settings!$B$4/24) &lt;= A109)*((Data!$B$2:$B$53 + Settings!$B$4/24) &gt; A109))&gt;0)</f>
        <v>0</v>
      </c>
      <c r="E109">
        <f>--(SUMPRODUCT((Data!$C$2:$C$53="K12B")*((Data!$A$2:$A$53 - Settings!$B$4/24) &lt;= A109)*((Data!$B$2:$B$53 + Settings!$B$4/24) &gt; A109))&gt;0)</f>
        <v>1</v>
      </c>
      <c r="F109">
        <f>--(SUMPRODUCT((Data!$C$2:$C$53="TT2")*((Data!$A$2:$A$53 - Settings!$B$4/24) &lt;= A109)*((Data!$B$2:$B$53 + Settings!$B$4/24) &gt; A109))&gt;0)</f>
        <v>0</v>
      </c>
    </row>
    <row r="110" spans="1:6" ht="15.6" x14ac:dyDescent="0.3">
      <c r="A110" s="1">
        <v>45936.500347222223</v>
      </c>
      <c r="B110">
        <f>--(SUMPRODUCT((Data!$C$2:$C$53="K12C")*((Data!$A$2:$A$53 - Settings!$B$4/24) &lt;= A110)*((Data!$B$2:$B$53 + Settings!$B$4/24) &gt; A110))&gt;0)</f>
        <v>0</v>
      </c>
      <c r="C110">
        <f>--(SUMPRODUCT((Data!$C$2:$C$53="K12A")*((Data!$A$2:$A$53 - Settings!$B$4/24) &lt;= A110)*((Data!$B$2:$B$53 + Settings!$B$4/24) &gt; A110))&gt;0)</f>
        <v>0</v>
      </c>
      <c r="D110">
        <f>--(SUMPRODUCT((Data!$C$2:$C$53="K12")*((Data!$A$2:$A$53 - Settings!$B$4/24) &lt;= A110)*((Data!$B$2:$B$53 + Settings!$B$4/24) &gt; A110))&gt;0)</f>
        <v>0</v>
      </c>
      <c r="E110">
        <f>--(SUMPRODUCT((Data!$C$2:$C$53="K12B")*((Data!$A$2:$A$53 - Settings!$B$4/24) &lt;= A110)*((Data!$B$2:$B$53 + Settings!$B$4/24) &gt; A110))&gt;0)</f>
        <v>1</v>
      </c>
      <c r="F110">
        <f>--(SUMPRODUCT((Data!$C$2:$C$53="TT2")*((Data!$A$2:$A$53 - Settings!$B$4/24) &lt;= A110)*((Data!$B$2:$B$53 + Settings!$B$4/24) &gt; A110))&gt;0)</f>
        <v>0</v>
      </c>
    </row>
    <row r="111" spans="1:6" ht="15.6" x14ac:dyDescent="0.3">
      <c r="A111" s="1">
        <v>45936.542013888888</v>
      </c>
      <c r="B111">
        <f>--(SUMPRODUCT((Data!$C$2:$C$53="K12C")*((Data!$A$2:$A$53 - Settings!$B$4/24) &lt;= A111)*((Data!$B$2:$B$53 + Settings!$B$4/24) &gt; A111))&gt;0)</f>
        <v>0</v>
      </c>
      <c r="C111">
        <f>--(SUMPRODUCT((Data!$C$2:$C$53="K12A")*((Data!$A$2:$A$53 - Settings!$B$4/24) &lt;= A111)*((Data!$B$2:$B$53 + Settings!$B$4/24) &gt; A111))&gt;0)</f>
        <v>0</v>
      </c>
      <c r="D111">
        <f>--(SUMPRODUCT((Data!$C$2:$C$53="K12")*((Data!$A$2:$A$53 - Settings!$B$4/24) &lt;= A111)*((Data!$B$2:$B$53 + Settings!$B$4/24) &gt; A111))&gt;0)</f>
        <v>0</v>
      </c>
      <c r="E111">
        <f>--(SUMPRODUCT((Data!$C$2:$C$53="K12B")*((Data!$A$2:$A$53 - Settings!$B$4/24) &lt;= A111)*((Data!$B$2:$B$53 + Settings!$B$4/24) &gt; A111))&gt;0)</f>
        <v>1</v>
      </c>
      <c r="F111">
        <f>--(SUMPRODUCT((Data!$C$2:$C$53="TT2")*((Data!$A$2:$A$53 - Settings!$B$4/24) &lt;= A111)*((Data!$B$2:$B$53 + Settings!$B$4/24) &gt; A111))&gt;0)</f>
        <v>0</v>
      </c>
    </row>
    <row r="112" spans="1:6" ht="15.6" x14ac:dyDescent="0.3">
      <c r="A112" s="1">
        <v>45936.583680555559</v>
      </c>
      <c r="B112">
        <f>--(SUMPRODUCT((Data!$C$2:$C$53="K12C")*((Data!$A$2:$A$53 - Settings!$B$4/24) &lt;= A112)*((Data!$B$2:$B$53 + Settings!$B$4/24) &gt; A112))&gt;0)</f>
        <v>0</v>
      </c>
      <c r="C112">
        <f>--(SUMPRODUCT((Data!$C$2:$C$53="K12A")*((Data!$A$2:$A$53 - Settings!$B$4/24) &lt;= A112)*((Data!$B$2:$B$53 + Settings!$B$4/24) &gt; A112))&gt;0)</f>
        <v>0</v>
      </c>
      <c r="D112">
        <f>--(SUMPRODUCT((Data!$C$2:$C$53="K12")*((Data!$A$2:$A$53 - Settings!$B$4/24) &lt;= A112)*((Data!$B$2:$B$53 + Settings!$B$4/24) &gt; A112))&gt;0)</f>
        <v>0</v>
      </c>
      <c r="E112">
        <f>--(SUMPRODUCT((Data!$C$2:$C$53="K12B")*((Data!$A$2:$A$53 - Settings!$B$4/24) &lt;= A112)*((Data!$B$2:$B$53 + Settings!$B$4/24) &gt; A112))&gt;0)</f>
        <v>1</v>
      </c>
      <c r="F112">
        <f>--(SUMPRODUCT((Data!$C$2:$C$53="TT2")*((Data!$A$2:$A$53 - Settings!$B$4/24) &lt;= A112)*((Data!$B$2:$B$53 + Settings!$B$4/24) &gt; A112))&gt;0)</f>
        <v>0</v>
      </c>
    </row>
    <row r="113" spans="1:6" ht="15.6" x14ac:dyDescent="0.3">
      <c r="A113" s="1">
        <v>45936.625347222223</v>
      </c>
      <c r="B113">
        <f>--(SUMPRODUCT((Data!$C$2:$C$53="K12C")*((Data!$A$2:$A$53 - Settings!$B$4/24) &lt;= A113)*((Data!$B$2:$B$53 + Settings!$B$4/24) &gt; A113))&gt;0)</f>
        <v>0</v>
      </c>
      <c r="C113">
        <f>--(SUMPRODUCT((Data!$C$2:$C$53="K12A")*((Data!$A$2:$A$53 - Settings!$B$4/24) &lt;= A113)*((Data!$B$2:$B$53 + Settings!$B$4/24) &gt; A113))&gt;0)</f>
        <v>0</v>
      </c>
      <c r="D113">
        <f>--(SUMPRODUCT((Data!$C$2:$C$53="K12")*((Data!$A$2:$A$53 - Settings!$B$4/24) &lt;= A113)*((Data!$B$2:$B$53 + Settings!$B$4/24) &gt; A113))&gt;0)</f>
        <v>0</v>
      </c>
      <c r="E113">
        <f>--(SUMPRODUCT((Data!$C$2:$C$53="K12B")*((Data!$A$2:$A$53 - Settings!$B$4/24) &lt;= A113)*((Data!$B$2:$B$53 + Settings!$B$4/24) &gt; A113))&gt;0)</f>
        <v>1</v>
      </c>
      <c r="F113">
        <f>--(SUMPRODUCT((Data!$C$2:$C$53="TT2")*((Data!$A$2:$A$53 - Settings!$B$4/24) &lt;= A113)*((Data!$B$2:$B$53 + Settings!$B$4/24) &gt; A113))&gt;0)</f>
        <v>0</v>
      </c>
    </row>
    <row r="114" spans="1:6" ht="15.6" x14ac:dyDescent="0.3">
      <c r="A114" s="1">
        <v>45936.667013888888</v>
      </c>
      <c r="B114">
        <f>--(SUMPRODUCT((Data!$C$2:$C$53="K12C")*((Data!$A$2:$A$53 - Settings!$B$4/24) &lt;= A114)*((Data!$B$2:$B$53 + Settings!$B$4/24) &gt; A114))&gt;0)</f>
        <v>1</v>
      </c>
      <c r="C114">
        <f>--(SUMPRODUCT((Data!$C$2:$C$53="K12A")*((Data!$A$2:$A$53 - Settings!$B$4/24) &lt;= A114)*((Data!$B$2:$B$53 + Settings!$B$4/24) &gt; A114))&gt;0)</f>
        <v>0</v>
      </c>
      <c r="D114">
        <f>--(SUMPRODUCT((Data!$C$2:$C$53="K12")*((Data!$A$2:$A$53 - Settings!$B$4/24) &lt;= A114)*((Data!$B$2:$B$53 + Settings!$B$4/24) &gt; A114))&gt;0)</f>
        <v>0</v>
      </c>
      <c r="E114">
        <f>--(SUMPRODUCT((Data!$C$2:$C$53="K12B")*((Data!$A$2:$A$53 - Settings!$B$4/24) &lt;= A114)*((Data!$B$2:$B$53 + Settings!$B$4/24) &gt; A114))&gt;0)</f>
        <v>1</v>
      </c>
      <c r="F114">
        <f>--(SUMPRODUCT((Data!$C$2:$C$53="TT2")*((Data!$A$2:$A$53 - Settings!$B$4/24) &lt;= A114)*((Data!$B$2:$B$53 + Settings!$B$4/24) &gt; A114))&gt;0)</f>
        <v>0</v>
      </c>
    </row>
    <row r="115" spans="1:6" ht="15.6" x14ac:dyDescent="0.3">
      <c r="A115" s="1">
        <v>45936.708680555559</v>
      </c>
      <c r="B115">
        <f>--(SUMPRODUCT((Data!$C$2:$C$53="K12C")*((Data!$A$2:$A$53 - Settings!$B$4/24) &lt;= A115)*((Data!$B$2:$B$53 + Settings!$B$4/24) &gt; A115))&gt;0)</f>
        <v>1</v>
      </c>
      <c r="C115">
        <f>--(SUMPRODUCT((Data!$C$2:$C$53="K12A")*((Data!$A$2:$A$53 - Settings!$B$4/24) &lt;= A115)*((Data!$B$2:$B$53 + Settings!$B$4/24) &gt; A115))&gt;0)</f>
        <v>0</v>
      </c>
      <c r="D115">
        <f>--(SUMPRODUCT((Data!$C$2:$C$53="K12")*((Data!$A$2:$A$53 - Settings!$B$4/24) &lt;= A115)*((Data!$B$2:$B$53 + Settings!$B$4/24) &gt; A115))&gt;0)</f>
        <v>0</v>
      </c>
      <c r="E115">
        <f>--(SUMPRODUCT((Data!$C$2:$C$53="K12B")*((Data!$A$2:$A$53 - Settings!$B$4/24) &lt;= A115)*((Data!$B$2:$B$53 + Settings!$B$4/24) &gt; A115))&gt;0)</f>
        <v>1</v>
      </c>
      <c r="F115">
        <f>--(SUMPRODUCT((Data!$C$2:$C$53="TT2")*((Data!$A$2:$A$53 - Settings!$B$4/24) &lt;= A115)*((Data!$B$2:$B$53 + Settings!$B$4/24) &gt; A115))&gt;0)</f>
        <v>0</v>
      </c>
    </row>
    <row r="116" spans="1:6" ht="15.6" x14ac:dyDescent="0.3">
      <c r="A116" s="1">
        <v>45936.750347222223</v>
      </c>
      <c r="B116">
        <f>--(SUMPRODUCT((Data!$C$2:$C$53="K12C")*((Data!$A$2:$A$53 - Settings!$B$4/24) &lt;= A116)*((Data!$B$2:$B$53 + Settings!$B$4/24) &gt; A116))&gt;0)</f>
        <v>1</v>
      </c>
      <c r="C116">
        <f>--(SUMPRODUCT((Data!$C$2:$C$53="K12A")*((Data!$A$2:$A$53 - Settings!$B$4/24) &lt;= A116)*((Data!$B$2:$B$53 + Settings!$B$4/24) &gt; A116))&gt;0)</f>
        <v>0</v>
      </c>
      <c r="D116">
        <f>--(SUMPRODUCT((Data!$C$2:$C$53="K12")*((Data!$A$2:$A$53 - Settings!$B$4/24) &lt;= A116)*((Data!$B$2:$B$53 + Settings!$B$4/24) &gt; A116))&gt;0)</f>
        <v>0</v>
      </c>
      <c r="E116">
        <f>--(SUMPRODUCT((Data!$C$2:$C$53="K12B")*((Data!$A$2:$A$53 - Settings!$B$4/24) &lt;= A116)*((Data!$B$2:$B$53 + Settings!$B$4/24) &gt; A116))&gt;0)</f>
        <v>1</v>
      </c>
      <c r="F116">
        <f>--(SUMPRODUCT((Data!$C$2:$C$53="TT2")*((Data!$A$2:$A$53 - Settings!$B$4/24) &lt;= A116)*((Data!$B$2:$B$53 + Settings!$B$4/24) &gt; A116))&gt;0)</f>
        <v>0</v>
      </c>
    </row>
    <row r="117" spans="1:6" ht="15.6" x14ac:dyDescent="0.3">
      <c r="A117" s="1">
        <v>45936.792013888888</v>
      </c>
      <c r="B117">
        <f>--(SUMPRODUCT((Data!$C$2:$C$53="K12C")*((Data!$A$2:$A$53 - Settings!$B$4/24) &lt;= A117)*((Data!$B$2:$B$53 + Settings!$B$4/24) &gt; A117))&gt;0)</f>
        <v>1</v>
      </c>
      <c r="C117">
        <f>--(SUMPRODUCT((Data!$C$2:$C$53="K12A")*((Data!$A$2:$A$53 - Settings!$B$4/24) &lt;= A117)*((Data!$B$2:$B$53 + Settings!$B$4/24) &gt; A117))&gt;0)</f>
        <v>0</v>
      </c>
      <c r="D117">
        <f>--(SUMPRODUCT((Data!$C$2:$C$53="K12")*((Data!$A$2:$A$53 - Settings!$B$4/24) &lt;= A117)*((Data!$B$2:$B$53 + Settings!$B$4/24) &gt; A117))&gt;0)</f>
        <v>0</v>
      </c>
      <c r="E117">
        <f>--(SUMPRODUCT((Data!$C$2:$C$53="K12B")*((Data!$A$2:$A$53 - Settings!$B$4/24) &lt;= A117)*((Data!$B$2:$B$53 + Settings!$B$4/24) &gt; A117))&gt;0)</f>
        <v>1</v>
      </c>
      <c r="F117">
        <f>--(SUMPRODUCT((Data!$C$2:$C$53="TT2")*((Data!$A$2:$A$53 - Settings!$B$4/24) &lt;= A117)*((Data!$B$2:$B$53 + Settings!$B$4/24) &gt; A117))&gt;0)</f>
        <v>0</v>
      </c>
    </row>
    <row r="118" spans="1:6" ht="15.6" x14ac:dyDescent="0.3">
      <c r="A118" s="1">
        <v>45936.833680555559</v>
      </c>
      <c r="B118">
        <f>--(SUMPRODUCT((Data!$C$2:$C$53="K12C")*((Data!$A$2:$A$53 - Settings!$B$4/24) &lt;= A118)*((Data!$B$2:$B$53 + Settings!$B$4/24) &gt; A118))&gt;0)</f>
        <v>1</v>
      </c>
      <c r="C118">
        <f>--(SUMPRODUCT((Data!$C$2:$C$53="K12A")*((Data!$A$2:$A$53 - Settings!$B$4/24) &lt;= A118)*((Data!$B$2:$B$53 + Settings!$B$4/24) &gt; A118))&gt;0)</f>
        <v>0</v>
      </c>
      <c r="D118">
        <f>--(SUMPRODUCT((Data!$C$2:$C$53="K12")*((Data!$A$2:$A$53 - Settings!$B$4/24) &lt;= A118)*((Data!$B$2:$B$53 + Settings!$B$4/24) &gt; A118))&gt;0)</f>
        <v>0</v>
      </c>
      <c r="E118">
        <f>--(SUMPRODUCT((Data!$C$2:$C$53="K12B")*((Data!$A$2:$A$53 - Settings!$B$4/24) &lt;= A118)*((Data!$B$2:$B$53 + Settings!$B$4/24) &gt; A118))&gt;0)</f>
        <v>1</v>
      </c>
      <c r="F118">
        <f>--(SUMPRODUCT((Data!$C$2:$C$53="TT2")*((Data!$A$2:$A$53 - Settings!$B$4/24) &lt;= A118)*((Data!$B$2:$B$53 + Settings!$B$4/24) &gt; A118))&gt;0)</f>
        <v>0</v>
      </c>
    </row>
    <row r="119" spans="1:6" ht="15.6" x14ac:dyDescent="0.3">
      <c r="A119" s="1">
        <v>45936.875347222223</v>
      </c>
      <c r="B119">
        <f>--(SUMPRODUCT((Data!$C$2:$C$53="K12C")*((Data!$A$2:$A$53 - Settings!$B$4/24) &lt;= A119)*((Data!$B$2:$B$53 + Settings!$B$4/24) &gt; A119))&gt;0)</f>
        <v>1</v>
      </c>
      <c r="C119">
        <f>--(SUMPRODUCT((Data!$C$2:$C$53="K12A")*((Data!$A$2:$A$53 - Settings!$B$4/24) &lt;= A119)*((Data!$B$2:$B$53 + Settings!$B$4/24) &gt; A119))&gt;0)</f>
        <v>0</v>
      </c>
      <c r="D119">
        <f>--(SUMPRODUCT((Data!$C$2:$C$53="K12")*((Data!$A$2:$A$53 - Settings!$B$4/24) &lt;= A119)*((Data!$B$2:$B$53 + Settings!$B$4/24) &gt; A119))&gt;0)</f>
        <v>0</v>
      </c>
      <c r="E119">
        <f>--(SUMPRODUCT((Data!$C$2:$C$53="K12B")*((Data!$A$2:$A$53 - Settings!$B$4/24) &lt;= A119)*((Data!$B$2:$B$53 + Settings!$B$4/24) &gt; A119))&gt;0)</f>
        <v>1</v>
      </c>
      <c r="F119">
        <f>--(SUMPRODUCT((Data!$C$2:$C$53="TT2")*((Data!$A$2:$A$53 - Settings!$B$4/24) &lt;= A119)*((Data!$B$2:$B$53 + Settings!$B$4/24) &gt; A119))&gt;0)</f>
        <v>0</v>
      </c>
    </row>
    <row r="120" spans="1:6" ht="15.6" x14ac:dyDescent="0.3">
      <c r="A120" s="1">
        <v>45936.917013888888</v>
      </c>
      <c r="B120">
        <f>--(SUMPRODUCT((Data!$C$2:$C$53="K12C")*((Data!$A$2:$A$53 - Settings!$B$4/24) &lt;= A120)*((Data!$B$2:$B$53 + Settings!$B$4/24) &gt; A120))&gt;0)</f>
        <v>1</v>
      </c>
      <c r="C120">
        <f>--(SUMPRODUCT((Data!$C$2:$C$53="K12A")*((Data!$A$2:$A$53 - Settings!$B$4/24) &lt;= A120)*((Data!$B$2:$B$53 + Settings!$B$4/24) &gt; A120))&gt;0)</f>
        <v>0</v>
      </c>
      <c r="D120">
        <f>--(SUMPRODUCT((Data!$C$2:$C$53="K12")*((Data!$A$2:$A$53 - Settings!$B$4/24) &lt;= A120)*((Data!$B$2:$B$53 + Settings!$B$4/24) &gt; A120))&gt;0)</f>
        <v>0</v>
      </c>
      <c r="E120">
        <f>--(SUMPRODUCT((Data!$C$2:$C$53="K12B")*((Data!$A$2:$A$53 - Settings!$B$4/24) &lt;= A120)*((Data!$B$2:$B$53 + Settings!$B$4/24) &gt; A120))&gt;0)</f>
        <v>1</v>
      </c>
      <c r="F120">
        <f>--(SUMPRODUCT((Data!$C$2:$C$53="TT2")*((Data!$A$2:$A$53 - Settings!$B$4/24) &lt;= A120)*((Data!$B$2:$B$53 + Settings!$B$4/24) &gt; A120))&gt;0)</f>
        <v>0</v>
      </c>
    </row>
    <row r="121" spans="1:6" ht="15.6" x14ac:dyDescent="0.3">
      <c r="A121" s="1">
        <v>45936.958680555559</v>
      </c>
      <c r="B121">
        <f>--(SUMPRODUCT((Data!$C$2:$C$53="K12C")*((Data!$A$2:$A$53 - Settings!$B$4/24) &lt;= A121)*((Data!$B$2:$B$53 + Settings!$B$4/24) &gt; A121))&gt;0)</f>
        <v>1</v>
      </c>
      <c r="C121">
        <f>--(SUMPRODUCT((Data!$C$2:$C$53="K12A")*((Data!$A$2:$A$53 - Settings!$B$4/24) &lt;= A121)*((Data!$B$2:$B$53 + Settings!$B$4/24) &gt; A121))&gt;0)</f>
        <v>0</v>
      </c>
      <c r="D121">
        <f>--(SUMPRODUCT((Data!$C$2:$C$53="K12")*((Data!$A$2:$A$53 - Settings!$B$4/24) &lt;= A121)*((Data!$B$2:$B$53 + Settings!$B$4/24) &gt; A121))&gt;0)</f>
        <v>1</v>
      </c>
      <c r="E121">
        <f>--(SUMPRODUCT((Data!$C$2:$C$53="K12B")*((Data!$A$2:$A$53 - Settings!$B$4/24) &lt;= A121)*((Data!$B$2:$B$53 + Settings!$B$4/24) &gt; A121))&gt;0)</f>
        <v>1</v>
      </c>
      <c r="F121">
        <f>--(SUMPRODUCT((Data!$C$2:$C$53="TT2")*((Data!$A$2:$A$53 - Settings!$B$4/24) &lt;= A121)*((Data!$B$2:$B$53 + Settings!$B$4/24) &gt; A121))&gt;0)</f>
        <v>0</v>
      </c>
    </row>
    <row r="122" spans="1:6" ht="15.6" x14ac:dyDescent="0.3">
      <c r="A122" s="1">
        <v>45937.000347222223</v>
      </c>
      <c r="B122">
        <f>--(SUMPRODUCT((Data!$C$2:$C$53="K12C")*((Data!$A$2:$A$53 - Settings!$B$4/24) &lt;= A122)*((Data!$B$2:$B$53 + Settings!$B$4/24) &gt; A122))&gt;0)</f>
        <v>1</v>
      </c>
      <c r="C122">
        <f>--(SUMPRODUCT((Data!$C$2:$C$53="K12A")*((Data!$A$2:$A$53 - Settings!$B$4/24) &lt;= A122)*((Data!$B$2:$B$53 + Settings!$B$4/24) &gt; A122))&gt;0)</f>
        <v>0</v>
      </c>
      <c r="D122">
        <f>--(SUMPRODUCT((Data!$C$2:$C$53="K12")*((Data!$A$2:$A$53 - Settings!$B$4/24) &lt;= A122)*((Data!$B$2:$B$53 + Settings!$B$4/24) &gt; A122))&gt;0)</f>
        <v>1</v>
      </c>
      <c r="E122">
        <f>--(SUMPRODUCT((Data!$C$2:$C$53="K12B")*((Data!$A$2:$A$53 - Settings!$B$4/24) &lt;= A122)*((Data!$B$2:$B$53 + Settings!$B$4/24) &gt; A122))&gt;0)</f>
        <v>1</v>
      </c>
      <c r="F122">
        <f>--(SUMPRODUCT((Data!$C$2:$C$53="TT2")*((Data!$A$2:$A$53 - Settings!$B$4/24) &lt;= A122)*((Data!$B$2:$B$53 + Settings!$B$4/24) &gt; A122))&gt;0)</f>
        <v>0</v>
      </c>
    </row>
    <row r="123" spans="1:6" ht="15.6" x14ac:dyDescent="0.3">
      <c r="A123" s="1">
        <v>45937.042013888888</v>
      </c>
      <c r="B123">
        <f>--(SUMPRODUCT((Data!$C$2:$C$53="K12C")*((Data!$A$2:$A$53 - Settings!$B$4/24) &lt;= A123)*((Data!$B$2:$B$53 + Settings!$B$4/24) &gt; A123))&gt;0)</f>
        <v>1</v>
      </c>
      <c r="C123">
        <f>--(SUMPRODUCT((Data!$C$2:$C$53="K12A")*((Data!$A$2:$A$53 - Settings!$B$4/24) &lt;= A123)*((Data!$B$2:$B$53 + Settings!$B$4/24) &gt; A123))&gt;0)</f>
        <v>0</v>
      </c>
      <c r="D123">
        <f>--(SUMPRODUCT((Data!$C$2:$C$53="K12")*((Data!$A$2:$A$53 - Settings!$B$4/24) &lt;= A123)*((Data!$B$2:$B$53 + Settings!$B$4/24) &gt; A123))&gt;0)</f>
        <v>1</v>
      </c>
      <c r="E123">
        <f>--(SUMPRODUCT((Data!$C$2:$C$53="K12B")*((Data!$A$2:$A$53 - Settings!$B$4/24) &lt;= A123)*((Data!$B$2:$B$53 + Settings!$B$4/24) &gt; A123))&gt;0)</f>
        <v>1</v>
      </c>
      <c r="F123">
        <f>--(SUMPRODUCT((Data!$C$2:$C$53="TT2")*((Data!$A$2:$A$53 - Settings!$B$4/24) &lt;= A123)*((Data!$B$2:$B$53 + Settings!$B$4/24) &gt; A123))&gt;0)</f>
        <v>0</v>
      </c>
    </row>
    <row r="124" spans="1:6" ht="15.6" x14ac:dyDescent="0.3">
      <c r="A124" s="1">
        <v>45937.083680555559</v>
      </c>
      <c r="B124">
        <f>--(SUMPRODUCT((Data!$C$2:$C$53="K12C")*((Data!$A$2:$A$53 - Settings!$B$4/24) &lt;= A124)*((Data!$B$2:$B$53 + Settings!$B$4/24) &gt; A124))&gt;0)</f>
        <v>1</v>
      </c>
      <c r="C124">
        <f>--(SUMPRODUCT((Data!$C$2:$C$53="K12A")*((Data!$A$2:$A$53 - Settings!$B$4/24) &lt;= A124)*((Data!$B$2:$B$53 + Settings!$B$4/24) &gt; A124))&gt;0)</f>
        <v>0</v>
      </c>
      <c r="D124">
        <f>--(SUMPRODUCT((Data!$C$2:$C$53="K12")*((Data!$A$2:$A$53 - Settings!$B$4/24) &lt;= A124)*((Data!$B$2:$B$53 + Settings!$B$4/24) &gt; A124))&gt;0)</f>
        <v>1</v>
      </c>
      <c r="E124">
        <f>--(SUMPRODUCT((Data!$C$2:$C$53="K12B")*((Data!$A$2:$A$53 - Settings!$B$4/24) &lt;= A124)*((Data!$B$2:$B$53 + Settings!$B$4/24) &gt; A124))&gt;0)</f>
        <v>1</v>
      </c>
      <c r="F124">
        <f>--(SUMPRODUCT((Data!$C$2:$C$53="TT2")*((Data!$A$2:$A$53 - Settings!$B$4/24) &lt;= A124)*((Data!$B$2:$B$53 + Settings!$B$4/24) &gt; A124))&gt;0)</f>
        <v>0</v>
      </c>
    </row>
    <row r="125" spans="1:6" ht="15.6" x14ac:dyDescent="0.3">
      <c r="A125" s="1">
        <v>45937.125347222223</v>
      </c>
      <c r="B125">
        <f>--(SUMPRODUCT((Data!$C$2:$C$53="K12C")*((Data!$A$2:$A$53 - Settings!$B$4/24) &lt;= A125)*((Data!$B$2:$B$53 + Settings!$B$4/24) &gt; A125))&gt;0)</f>
        <v>1</v>
      </c>
      <c r="C125">
        <f>--(SUMPRODUCT((Data!$C$2:$C$53="K12A")*((Data!$A$2:$A$53 - Settings!$B$4/24) &lt;= A125)*((Data!$B$2:$B$53 + Settings!$B$4/24) &gt; A125))&gt;0)</f>
        <v>0</v>
      </c>
      <c r="D125">
        <f>--(SUMPRODUCT((Data!$C$2:$C$53="K12")*((Data!$A$2:$A$53 - Settings!$B$4/24) &lt;= A125)*((Data!$B$2:$B$53 + Settings!$B$4/24) &gt; A125))&gt;0)</f>
        <v>1</v>
      </c>
      <c r="E125">
        <f>--(SUMPRODUCT((Data!$C$2:$C$53="K12B")*((Data!$A$2:$A$53 - Settings!$B$4/24) &lt;= A125)*((Data!$B$2:$B$53 + Settings!$B$4/24) &gt; A125))&gt;0)</f>
        <v>1</v>
      </c>
      <c r="F125">
        <f>--(SUMPRODUCT((Data!$C$2:$C$53="TT2")*((Data!$A$2:$A$53 - Settings!$B$4/24) &lt;= A125)*((Data!$B$2:$B$53 + Settings!$B$4/24) &gt; A125))&gt;0)</f>
        <v>0</v>
      </c>
    </row>
    <row r="126" spans="1:6" ht="15.6" x14ac:dyDescent="0.3">
      <c r="A126" s="1">
        <v>45937.167013888888</v>
      </c>
      <c r="B126">
        <f>--(SUMPRODUCT((Data!$C$2:$C$53="K12C")*((Data!$A$2:$A$53 - Settings!$B$4/24) &lt;= A126)*((Data!$B$2:$B$53 + Settings!$B$4/24) &gt; A126))&gt;0)</f>
        <v>1</v>
      </c>
      <c r="C126">
        <f>--(SUMPRODUCT((Data!$C$2:$C$53="K12A")*((Data!$A$2:$A$53 - Settings!$B$4/24) &lt;= A126)*((Data!$B$2:$B$53 + Settings!$B$4/24) &gt; A126))&gt;0)</f>
        <v>0</v>
      </c>
      <c r="D126">
        <f>--(SUMPRODUCT((Data!$C$2:$C$53="K12")*((Data!$A$2:$A$53 - Settings!$B$4/24) &lt;= A126)*((Data!$B$2:$B$53 + Settings!$B$4/24) &gt; A126))&gt;0)</f>
        <v>1</v>
      </c>
      <c r="E126">
        <f>--(SUMPRODUCT((Data!$C$2:$C$53="K12B")*((Data!$A$2:$A$53 - Settings!$B$4/24) &lt;= A126)*((Data!$B$2:$B$53 + Settings!$B$4/24) &gt; A126))&gt;0)</f>
        <v>1</v>
      </c>
      <c r="F126">
        <f>--(SUMPRODUCT((Data!$C$2:$C$53="TT2")*((Data!$A$2:$A$53 - Settings!$B$4/24) &lt;= A126)*((Data!$B$2:$B$53 + Settings!$B$4/24) &gt; A126))&gt;0)</f>
        <v>0</v>
      </c>
    </row>
    <row r="127" spans="1:6" ht="15.6" x14ac:dyDescent="0.3">
      <c r="A127" s="1">
        <v>45937.208680555559</v>
      </c>
      <c r="B127">
        <f>--(SUMPRODUCT((Data!$C$2:$C$53="K12C")*((Data!$A$2:$A$53 - Settings!$B$4/24) &lt;= A127)*((Data!$B$2:$B$53 + Settings!$B$4/24) &gt; A127))&gt;0)</f>
        <v>1</v>
      </c>
      <c r="C127">
        <f>--(SUMPRODUCT((Data!$C$2:$C$53="K12A")*((Data!$A$2:$A$53 - Settings!$B$4/24) &lt;= A127)*((Data!$B$2:$B$53 + Settings!$B$4/24) &gt; A127))&gt;0)</f>
        <v>0</v>
      </c>
      <c r="D127">
        <f>--(SUMPRODUCT((Data!$C$2:$C$53="K12")*((Data!$A$2:$A$53 - Settings!$B$4/24) &lt;= A127)*((Data!$B$2:$B$53 + Settings!$B$4/24) &gt; A127))&gt;0)</f>
        <v>1</v>
      </c>
      <c r="E127">
        <f>--(SUMPRODUCT((Data!$C$2:$C$53="K12B")*((Data!$A$2:$A$53 - Settings!$B$4/24) &lt;= A127)*((Data!$B$2:$B$53 + Settings!$B$4/24) &gt; A127))&gt;0)</f>
        <v>1</v>
      </c>
      <c r="F127">
        <f>--(SUMPRODUCT((Data!$C$2:$C$53="TT2")*((Data!$A$2:$A$53 - Settings!$B$4/24) &lt;= A127)*((Data!$B$2:$B$53 + Settings!$B$4/24) &gt; A127))&gt;0)</f>
        <v>0</v>
      </c>
    </row>
    <row r="128" spans="1:6" ht="15.6" x14ac:dyDescent="0.3">
      <c r="A128" s="1">
        <v>45937.250347222223</v>
      </c>
      <c r="B128">
        <f>--(SUMPRODUCT((Data!$C$2:$C$53="K12C")*((Data!$A$2:$A$53 - Settings!$B$4/24) &lt;= A128)*((Data!$B$2:$B$53 + Settings!$B$4/24) &gt; A128))&gt;0)</f>
        <v>1</v>
      </c>
      <c r="C128">
        <f>--(SUMPRODUCT((Data!$C$2:$C$53="K12A")*((Data!$A$2:$A$53 - Settings!$B$4/24) &lt;= A128)*((Data!$B$2:$B$53 + Settings!$B$4/24) &gt; A128))&gt;0)</f>
        <v>0</v>
      </c>
      <c r="D128">
        <f>--(SUMPRODUCT((Data!$C$2:$C$53="K12")*((Data!$A$2:$A$53 - Settings!$B$4/24) &lt;= A128)*((Data!$B$2:$B$53 + Settings!$B$4/24) &gt; A128))&gt;0)</f>
        <v>1</v>
      </c>
      <c r="E128">
        <f>--(SUMPRODUCT((Data!$C$2:$C$53="K12B")*((Data!$A$2:$A$53 - Settings!$B$4/24) &lt;= A128)*((Data!$B$2:$B$53 + Settings!$B$4/24) &gt; A128))&gt;0)</f>
        <v>1</v>
      </c>
      <c r="F128">
        <f>--(SUMPRODUCT((Data!$C$2:$C$53="TT2")*((Data!$A$2:$A$53 - Settings!$B$4/24) &lt;= A128)*((Data!$B$2:$B$53 + Settings!$B$4/24) &gt; A128))&gt;0)</f>
        <v>0</v>
      </c>
    </row>
    <row r="129" spans="1:6" ht="15.6" x14ac:dyDescent="0.3">
      <c r="A129" s="1">
        <v>45937.292013888888</v>
      </c>
      <c r="B129">
        <f>--(SUMPRODUCT((Data!$C$2:$C$53="K12C")*((Data!$A$2:$A$53 - Settings!$B$4/24) &lt;= A129)*((Data!$B$2:$B$53 + Settings!$B$4/24) &gt; A129))&gt;0)</f>
        <v>1</v>
      </c>
      <c r="C129">
        <f>--(SUMPRODUCT((Data!$C$2:$C$53="K12A")*((Data!$A$2:$A$53 - Settings!$B$4/24) &lt;= A129)*((Data!$B$2:$B$53 + Settings!$B$4/24) &gt; A129))&gt;0)</f>
        <v>0</v>
      </c>
      <c r="D129">
        <f>--(SUMPRODUCT((Data!$C$2:$C$53="K12")*((Data!$A$2:$A$53 - Settings!$B$4/24) &lt;= A129)*((Data!$B$2:$B$53 + Settings!$B$4/24) &gt; A129))&gt;0)</f>
        <v>1</v>
      </c>
      <c r="E129">
        <f>--(SUMPRODUCT((Data!$C$2:$C$53="K12B")*((Data!$A$2:$A$53 - Settings!$B$4/24) &lt;= A129)*((Data!$B$2:$B$53 + Settings!$B$4/24) &gt; A129))&gt;0)</f>
        <v>0</v>
      </c>
      <c r="F129">
        <f>--(SUMPRODUCT((Data!$C$2:$C$53="TT2")*((Data!$A$2:$A$53 - Settings!$B$4/24) &lt;= A129)*((Data!$B$2:$B$53 + Settings!$B$4/24) &gt; A129))&gt;0)</f>
        <v>0</v>
      </c>
    </row>
    <row r="130" spans="1:6" ht="15.6" x14ac:dyDescent="0.3">
      <c r="A130" s="1">
        <v>45937.333680555559</v>
      </c>
      <c r="B130">
        <f>--(SUMPRODUCT((Data!$C$2:$C$53="K12C")*((Data!$A$2:$A$53 - Settings!$B$4/24) &lt;= A130)*((Data!$B$2:$B$53 + Settings!$B$4/24) &gt; A130))&gt;0)</f>
        <v>1</v>
      </c>
      <c r="C130">
        <f>--(SUMPRODUCT((Data!$C$2:$C$53="K12A")*((Data!$A$2:$A$53 - Settings!$B$4/24) &lt;= A130)*((Data!$B$2:$B$53 + Settings!$B$4/24) &gt; A130))&gt;0)</f>
        <v>0</v>
      </c>
      <c r="D130">
        <f>--(SUMPRODUCT((Data!$C$2:$C$53="K12")*((Data!$A$2:$A$53 - Settings!$B$4/24) &lt;= A130)*((Data!$B$2:$B$53 + Settings!$B$4/24) &gt; A130))&gt;0)</f>
        <v>1</v>
      </c>
      <c r="E130">
        <f>--(SUMPRODUCT((Data!$C$2:$C$53="K12B")*((Data!$A$2:$A$53 - Settings!$B$4/24) &lt;= A130)*((Data!$B$2:$B$53 + Settings!$B$4/24) &gt; A130))&gt;0)</f>
        <v>0</v>
      </c>
      <c r="F130">
        <f>--(SUMPRODUCT((Data!$C$2:$C$53="TT2")*((Data!$A$2:$A$53 - Settings!$B$4/24) &lt;= A130)*((Data!$B$2:$B$53 + Settings!$B$4/24) &gt; A130))&gt;0)</f>
        <v>0</v>
      </c>
    </row>
    <row r="131" spans="1:6" ht="15.6" x14ac:dyDescent="0.3">
      <c r="A131" s="1">
        <v>45937.375347222223</v>
      </c>
      <c r="B131">
        <f>--(SUMPRODUCT((Data!$C$2:$C$53="K12C")*((Data!$A$2:$A$53 - Settings!$B$4/24) &lt;= A131)*((Data!$B$2:$B$53 + Settings!$B$4/24) &gt; A131))&gt;0)</f>
        <v>1</v>
      </c>
      <c r="C131">
        <f>--(SUMPRODUCT((Data!$C$2:$C$53="K12A")*((Data!$A$2:$A$53 - Settings!$B$4/24) &lt;= A131)*((Data!$B$2:$B$53 + Settings!$B$4/24) &gt; A131))&gt;0)</f>
        <v>0</v>
      </c>
      <c r="D131">
        <f>--(SUMPRODUCT((Data!$C$2:$C$53="K12")*((Data!$A$2:$A$53 - Settings!$B$4/24) &lt;= A131)*((Data!$B$2:$B$53 + Settings!$B$4/24) &gt; A131))&gt;0)</f>
        <v>1</v>
      </c>
      <c r="E131">
        <f>--(SUMPRODUCT((Data!$C$2:$C$53="K12B")*((Data!$A$2:$A$53 - Settings!$B$4/24) &lt;= A131)*((Data!$B$2:$B$53 + Settings!$B$4/24) &gt; A131))&gt;0)</f>
        <v>0</v>
      </c>
      <c r="F131">
        <f>--(SUMPRODUCT((Data!$C$2:$C$53="TT2")*((Data!$A$2:$A$53 - Settings!$B$4/24) &lt;= A131)*((Data!$B$2:$B$53 + Settings!$B$4/24) &gt; A131))&gt;0)</f>
        <v>0</v>
      </c>
    </row>
    <row r="132" spans="1:6" ht="15.6" x14ac:dyDescent="0.3">
      <c r="A132" s="1">
        <v>45937.417013888888</v>
      </c>
      <c r="B132">
        <f>--(SUMPRODUCT((Data!$C$2:$C$53="K12C")*((Data!$A$2:$A$53 - Settings!$B$4/24) &lt;= A132)*((Data!$B$2:$B$53 + Settings!$B$4/24) &gt; A132))&gt;0)</f>
        <v>1</v>
      </c>
      <c r="C132">
        <f>--(SUMPRODUCT((Data!$C$2:$C$53="K12A")*((Data!$A$2:$A$53 - Settings!$B$4/24) &lt;= A132)*((Data!$B$2:$B$53 + Settings!$B$4/24) &gt; A132))&gt;0)</f>
        <v>0</v>
      </c>
      <c r="D132">
        <f>--(SUMPRODUCT((Data!$C$2:$C$53="K12")*((Data!$A$2:$A$53 - Settings!$B$4/24) &lt;= A132)*((Data!$B$2:$B$53 + Settings!$B$4/24) &gt; A132))&gt;0)</f>
        <v>1</v>
      </c>
      <c r="E132">
        <f>--(SUMPRODUCT((Data!$C$2:$C$53="K12B")*((Data!$A$2:$A$53 - Settings!$B$4/24) &lt;= A132)*((Data!$B$2:$B$53 + Settings!$B$4/24) &gt; A132))&gt;0)</f>
        <v>0</v>
      </c>
      <c r="F132">
        <f>--(SUMPRODUCT((Data!$C$2:$C$53="TT2")*((Data!$A$2:$A$53 - Settings!$B$4/24) &lt;= A132)*((Data!$B$2:$B$53 + Settings!$B$4/24) &gt; A132))&gt;0)</f>
        <v>0</v>
      </c>
    </row>
    <row r="133" spans="1:6" ht="15.6" x14ac:dyDescent="0.3">
      <c r="A133" s="1">
        <v>45937.458680555559</v>
      </c>
      <c r="B133">
        <f>--(SUMPRODUCT((Data!$C$2:$C$53="K12C")*((Data!$A$2:$A$53 - Settings!$B$4/24) &lt;= A133)*((Data!$B$2:$B$53 + Settings!$B$4/24) &gt; A133))&gt;0)</f>
        <v>1</v>
      </c>
      <c r="C133">
        <f>--(SUMPRODUCT((Data!$C$2:$C$53="K12A")*((Data!$A$2:$A$53 - Settings!$B$4/24) &lt;= A133)*((Data!$B$2:$B$53 + Settings!$B$4/24) &gt; A133))&gt;0)</f>
        <v>0</v>
      </c>
      <c r="D133">
        <f>--(SUMPRODUCT((Data!$C$2:$C$53="K12")*((Data!$A$2:$A$53 - Settings!$B$4/24) &lt;= A133)*((Data!$B$2:$B$53 + Settings!$B$4/24) &gt; A133))&gt;0)</f>
        <v>1</v>
      </c>
      <c r="E133">
        <f>--(SUMPRODUCT((Data!$C$2:$C$53="K12B")*((Data!$A$2:$A$53 - Settings!$B$4/24) &lt;= A133)*((Data!$B$2:$B$53 + Settings!$B$4/24) &gt; A133))&gt;0)</f>
        <v>0</v>
      </c>
      <c r="F133">
        <f>--(SUMPRODUCT((Data!$C$2:$C$53="TT2")*((Data!$A$2:$A$53 - Settings!$B$4/24) &lt;= A133)*((Data!$B$2:$B$53 + Settings!$B$4/24) &gt; A133))&gt;0)</f>
        <v>0</v>
      </c>
    </row>
    <row r="134" spans="1:6" ht="15.6" x14ac:dyDescent="0.3">
      <c r="A134" s="1">
        <v>45937.500347222223</v>
      </c>
      <c r="B134">
        <f>--(SUMPRODUCT((Data!$C$2:$C$53="K12C")*((Data!$A$2:$A$53 - Settings!$B$4/24) &lt;= A134)*((Data!$B$2:$B$53 + Settings!$B$4/24) &gt; A134))&gt;0)</f>
        <v>1</v>
      </c>
      <c r="C134">
        <f>--(SUMPRODUCT((Data!$C$2:$C$53="K12A")*((Data!$A$2:$A$53 - Settings!$B$4/24) &lt;= A134)*((Data!$B$2:$B$53 + Settings!$B$4/24) &gt; A134))&gt;0)</f>
        <v>0</v>
      </c>
      <c r="D134">
        <f>--(SUMPRODUCT((Data!$C$2:$C$53="K12")*((Data!$A$2:$A$53 - Settings!$B$4/24) &lt;= A134)*((Data!$B$2:$B$53 + Settings!$B$4/24) &gt; A134))&gt;0)</f>
        <v>1</v>
      </c>
      <c r="E134">
        <f>--(SUMPRODUCT((Data!$C$2:$C$53="K12B")*((Data!$A$2:$A$53 - Settings!$B$4/24) &lt;= A134)*((Data!$B$2:$B$53 + Settings!$B$4/24) &gt; A134))&gt;0)</f>
        <v>0</v>
      </c>
      <c r="F134">
        <f>--(SUMPRODUCT((Data!$C$2:$C$53="TT2")*((Data!$A$2:$A$53 - Settings!$B$4/24) &lt;= A134)*((Data!$B$2:$B$53 + Settings!$B$4/24) &gt; A134))&gt;0)</f>
        <v>0</v>
      </c>
    </row>
    <row r="135" spans="1:6" ht="15.6" x14ac:dyDescent="0.3">
      <c r="A135" s="1">
        <v>45937.542013888888</v>
      </c>
      <c r="B135">
        <f>--(SUMPRODUCT((Data!$C$2:$C$53="K12C")*((Data!$A$2:$A$53 - Settings!$B$4/24) &lt;= A135)*((Data!$B$2:$B$53 + Settings!$B$4/24) &gt; A135))&gt;0)</f>
        <v>1</v>
      </c>
      <c r="C135">
        <f>--(SUMPRODUCT((Data!$C$2:$C$53="K12A")*((Data!$A$2:$A$53 - Settings!$B$4/24) &lt;= A135)*((Data!$B$2:$B$53 + Settings!$B$4/24) &gt; A135))&gt;0)</f>
        <v>0</v>
      </c>
      <c r="D135">
        <f>--(SUMPRODUCT((Data!$C$2:$C$53="K12")*((Data!$A$2:$A$53 - Settings!$B$4/24) &lt;= A135)*((Data!$B$2:$B$53 + Settings!$B$4/24) &gt; A135))&gt;0)</f>
        <v>1</v>
      </c>
      <c r="E135">
        <f>--(SUMPRODUCT((Data!$C$2:$C$53="K12B")*((Data!$A$2:$A$53 - Settings!$B$4/24) &lt;= A135)*((Data!$B$2:$B$53 + Settings!$B$4/24) &gt; A135))&gt;0)</f>
        <v>0</v>
      </c>
      <c r="F135">
        <f>--(SUMPRODUCT((Data!$C$2:$C$53="TT2")*((Data!$A$2:$A$53 - Settings!$B$4/24) &lt;= A135)*((Data!$B$2:$B$53 + Settings!$B$4/24) &gt; A135))&gt;0)</f>
        <v>1</v>
      </c>
    </row>
    <row r="136" spans="1:6" ht="15.6" x14ac:dyDescent="0.3">
      <c r="A136" s="1">
        <v>45937.583680555559</v>
      </c>
      <c r="B136">
        <f>--(SUMPRODUCT((Data!$C$2:$C$53="K12C")*((Data!$A$2:$A$53 - Settings!$B$4/24) &lt;= A136)*((Data!$B$2:$B$53 + Settings!$B$4/24) &gt; A136))&gt;0)</f>
        <v>1</v>
      </c>
      <c r="C136">
        <f>--(SUMPRODUCT((Data!$C$2:$C$53="K12A")*((Data!$A$2:$A$53 - Settings!$B$4/24) &lt;= A136)*((Data!$B$2:$B$53 + Settings!$B$4/24) &gt; A136))&gt;0)</f>
        <v>0</v>
      </c>
      <c r="D136">
        <f>--(SUMPRODUCT((Data!$C$2:$C$53="K12")*((Data!$A$2:$A$53 - Settings!$B$4/24) &lt;= A136)*((Data!$B$2:$B$53 + Settings!$B$4/24) &gt; A136))&gt;0)</f>
        <v>1</v>
      </c>
      <c r="E136">
        <f>--(SUMPRODUCT((Data!$C$2:$C$53="K12B")*((Data!$A$2:$A$53 - Settings!$B$4/24) &lt;= A136)*((Data!$B$2:$B$53 + Settings!$B$4/24) &gt; A136))&gt;0)</f>
        <v>0</v>
      </c>
      <c r="F136">
        <f>--(SUMPRODUCT((Data!$C$2:$C$53="TT2")*((Data!$A$2:$A$53 - Settings!$B$4/24) &lt;= A136)*((Data!$B$2:$B$53 + Settings!$B$4/24) &gt; A136))&gt;0)</f>
        <v>1</v>
      </c>
    </row>
    <row r="137" spans="1:6" ht="15.6" x14ac:dyDescent="0.3">
      <c r="A137" s="1">
        <v>45937.625347222223</v>
      </c>
      <c r="B137">
        <f>--(SUMPRODUCT((Data!$C$2:$C$53="K12C")*((Data!$A$2:$A$53 - Settings!$B$4/24) &lt;= A137)*((Data!$B$2:$B$53 + Settings!$B$4/24) &gt; A137))&gt;0)</f>
        <v>1</v>
      </c>
      <c r="C137">
        <f>--(SUMPRODUCT((Data!$C$2:$C$53="K12A")*((Data!$A$2:$A$53 - Settings!$B$4/24) &lt;= A137)*((Data!$B$2:$B$53 + Settings!$B$4/24) &gt; A137))&gt;0)</f>
        <v>0</v>
      </c>
      <c r="D137">
        <f>--(SUMPRODUCT((Data!$C$2:$C$53="K12")*((Data!$A$2:$A$53 - Settings!$B$4/24) &lt;= A137)*((Data!$B$2:$B$53 + Settings!$B$4/24) &gt; A137))&gt;0)</f>
        <v>1</v>
      </c>
      <c r="E137">
        <f>--(SUMPRODUCT((Data!$C$2:$C$53="K12B")*((Data!$A$2:$A$53 - Settings!$B$4/24) &lt;= A137)*((Data!$B$2:$B$53 + Settings!$B$4/24) &gt; A137))&gt;0)</f>
        <v>0</v>
      </c>
      <c r="F137">
        <f>--(SUMPRODUCT((Data!$C$2:$C$53="TT2")*((Data!$A$2:$A$53 - Settings!$B$4/24) &lt;= A137)*((Data!$B$2:$B$53 + Settings!$B$4/24) &gt; A137))&gt;0)</f>
        <v>1</v>
      </c>
    </row>
    <row r="138" spans="1:6" ht="15.6" x14ac:dyDescent="0.3">
      <c r="A138" s="1">
        <v>45937.667013888888</v>
      </c>
      <c r="B138">
        <f>--(SUMPRODUCT((Data!$C$2:$C$53="K12C")*((Data!$A$2:$A$53 - Settings!$B$4/24) &lt;= A138)*((Data!$B$2:$B$53 + Settings!$B$4/24) &gt; A138))&gt;0)</f>
        <v>1</v>
      </c>
      <c r="C138">
        <f>--(SUMPRODUCT((Data!$C$2:$C$53="K12A")*((Data!$A$2:$A$53 - Settings!$B$4/24) &lt;= A138)*((Data!$B$2:$B$53 + Settings!$B$4/24) &gt; A138))&gt;0)</f>
        <v>0</v>
      </c>
      <c r="D138">
        <f>--(SUMPRODUCT((Data!$C$2:$C$53="K12")*((Data!$A$2:$A$53 - Settings!$B$4/24) &lt;= A138)*((Data!$B$2:$B$53 + Settings!$B$4/24) &gt; A138))&gt;0)</f>
        <v>1</v>
      </c>
      <c r="E138">
        <f>--(SUMPRODUCT((Data!$C$2:$C$53="K12B")*((Data!$A$2:$A$53 - Settings!$B$4/24) &lt;= A138)*((Data!$B$2:$B$53 + Settings!$B$4/24) &gt; A138))&gt;0)</f>
        <v>0</v>
      </c>
      <c r="F138">
        <f>--(SUMPRODUCT((Data!$C$2:$C$53="TT2")*((Data!$A$2:$A$53 - Settings!$B$4/24) &lt;= A138)*((Data!$B$2:$B$53 + Settings!$B$4/24) &gt; A138))&gt;0)</f>
        <v>1</v>
      </c>
    </row>
    <row r="139" spans="1:6" ht="15.6" x14ac:dyDescent="0.3">
      <c r="A139" s="1">
        <v>45937.708680555559</v>
      </c>
      <c r="B139">
        <f>--(SUMPRODUCT((Data!$C$2:$C$53="K12C")*((Data!$A$2:$A$53 - Settings!$B$4/24) &lt;= A139)*((Data!$B$2:$B$53 + Settings!$B$4/24) &gt; A139))&gt;0)</f>
        <v>1</v>
      </c>
      <c r="C139">
        <f>--(SUMPRODUCT((Data!$C$2:$C$53="K12A")*((Data!$A$2:$A$53 - Settings!$B$4/24) &lt;= A139)*((Data!$B$2:$B$53 + Settings!$B$4/24) &gt; A139))&gt;0)</f>
        <v>0</v>
      </c>
      <c r="D139">
        <f>--(SUMPRODUCT((Data!$C$2:$C$53="K12")*((Data!$A$2:$A$53 - Settings!$B$4/24) &lt;= A139)*((Data!$B$2:$B$53 + Settings!$B$4/24) &gt; A139))&gt;0)</f>
        <v>1</v>
      </c>
      <c r="E139">
        <f>--(SUMPRODUCT((Data!$C$2:$C$53="K12B")*((Data!$A$2:$A$53 - Settings!$B$4/24) &lt;= A139)*((Data!$B$2:$B$53 + Settings!$B$4/24) &gt; A139))&gt;0)</f>
        <v>0</v>
      </c>
      <c r="F139">
        <f>--(SUMPRODUCT((Data!$C$2:$C$53="TT2")*((Data!$A$2:$A$53 - Settings!$B$4/24) &lt;= A139)*((Data!$B$2:$B$53 + Settings!$B$4/24) &gt; A139))&gt;0)</f>
        <v>1</v>
      </c>
    </row>
    <row r="140" spans="1:6" ht="15.6" x14ac:dyDescent="0.3">
      <c r="A140" s="1">
        <v>45937.750347222223</v>
      </c>
      <c r="B140">
        <f>--(SUMPRODUCT((Data!$C$2:$C$53="K12C")*((Data!$A$2:$A$53 - Settings!$B$4/24) &lt;= A140)*((Data!$B$2:$B$53 + Settings!$B$4/24) &gt; A140))&gt;0)</f>
        <v>1</v>
      </c>
      <c r="C140">
        <f>--(SUMPRODUCT((Data!$C$2:$C$53="K12A")*((Data!$A$2:$A$53 - Settings!$B$4/24) &lt;= A140)*((Data!$B$2:$B$53 + Settings!$B$4/24) &gt; A140))&gt;0)</f>
        <v>0</v>
      </c>
      <c r="D140">
        <f>--(SUMPRODUCT((Data!$C$2:$C$53="K12")*((Data!$A$2:$A$53 - Settings!$B$4/24) &lt;= A140)*((Data!$B$2:$B$53 + Settings!$B$4/24) &gt; A140))&gt;0)</f>
        <v>1</v>
      </c>
      <c r="E140">
        <f>--(SUMPRODUCT((Data!$C$2:$C$53="K12B")*((Data!$A$2:$A$53 - Settings!$B$4/24) &lt;= A140)*((Data!$B$2:$B$53 + Settings!$B$4/24) &gt; A140))&gt;0)</f>
        <v>0</v>
      </c>
      <c r="F140">
        <f>--(SUMPRODUCT((Data!$C$2:$C$53="TT2")*((Data!$A$2:$A$53 - Settings!$B$4/24) &lt;= A140)*((Data!$B$2:$B$53 + Settings!$B$4/24) &gt; A140))&gt;0)</f>
        <v>1</v>
      </c>
    </row>
    <row r="141" spans="1:6" ht="15.6" x14ac:dyDescent="0.3">
      <c r="A141" s="1">
        <v>45937.792013888888</v>
      </c>
      <c r="B141">
        <f>--(SUMPRODUCT((Data!$C$2:$C$53="K12C")*((Data!$A$2:$A$53 - Settings!$B$4/24) &lt;= A141)*((Data!$B$2:$B$53 + Settings!$B$4/24) &gt; A141))&gt;0)</f>
        <v>1</v>
      </c>
      <c r="C141">
        <f>--(SUMPRODUCT((Data!$C$2:$C$53="K12A")*((Data!$A$2:$A$53 - Settings!$B$4/24) &lt;= A141)*((Data!$B$2:$B$53 + Settings!$B$4/24) &gt; A141))&gt;0)</f>
        <v>0</v>
      </c>
      <c r="D141">
        <f>--(SUMPRODUCT((Data!$C$2:$C$53="K12")*((Data!$A$2:$A$53 - Settings!$B$4/24) &lt;= A141)*((Data!$B$2:$B$53 + Settings!$B$4/24) &gt; A141))&gt;0)</f>
        <v>1</v>
      </c>
      <c r="E141">
        <f>--(SUMPRODUCT((Data!$C$2:$C$53="K12B")*((Data!$A$2:$A$53 - Settings!$B$4/24) &lt;= A141)*((Data!$B$2:$B$53 + Settings!$B$4/24) &gt; A141))&gt;0)</f>
        <v>0</v>
      </c>
      <c r="F141">
        <f>--(SUMPRODUCT((Data!$C$2:$C$53="TT2")*((Data!$A$2:$A$53 - Settings!$B$4/24) &lt;= A141)*((Data!$B$2:$B$53 + Settings!$B$4/24) &gt; A141))&gt;0)</f>
        <v>1</v>
      </c>
    </row>
    <row r="142" spans="1:6" ht="15.6" x14ac:dyDescent="0.3">
      <c r="A142" s="1">
        <v>45937.833680555559</v>
      </c>
      <c r="B142">
        <f>--(SUMPRODUCT((Data!$C$2:$C$53="K12C")*((Data!$A$2:$A$53 - Settings!$B$4/24) &lt;= A142)*((Data!$B$2:$B$53 + Settings!$B$4/24) &gt; A142))&gt;0)</f>
        <v>1</v>
      </c>
      <c r="C142">
        <f>--(SUMPRODUCT((Data!$C$2:$C$53="K12A")*((Data!$A$2:$A$53 - Settings!$B$4/24) &lt;= A142)*((Data!$B$2:$B$53 + Settings!$B$4/24) &gt; A142))&gt;0)</f>
        <v>0</v>
      </c>
      <c r="D142">
        <f>--(SUMPRODUCT((Data!$C$2:$C$53="K12")*((Data!$A$2:$A$53 - Settings!$B$4/24) &lt;= A142)*((Data!$B$2:$B$53 + Settings!$B$4/24) &gt; A142))&gt;0)</f>
        <v>1</v>
      </c>
      <c r="E142">
        <f>--(SUMPRODUCT((Data!$C$2:$C$53="K12B")*((Data!$A$2:$A$53 - Settings!$B$4/24) &lt;= A142)*((Data!$B$2:$B$53 + Settings!$B$4/24) &gt; A142))&gt;0)</f>
        <v>0</v>
      </c>
      <c r="F142">
        <f>--(SUMPRODUCT((Data!$C$2:$C$53="TT2")*((Data!$A$2:$A$53 - Settings!$B$4/24) &lt;= A142)*((Data!$B$2:$B$53 + Settings!$B$4/24) &gt; A142))&gt;0)</f>
        <v>1</v>
      </c>
    </row>
    <row r="143" spans="1:6" ht="15.6" x14ac:dyDescent="0.3">
      <c r="A143" s="1">
        <v>45937.875347222223</v>
      </c>
      <c r="B143">
        <f>--(SUMPRODUCT((Data!$C$2:$C$53="K12C")*((Data!$A$2:$A$53 - Settings!$B$4/24) &lt;= A143)*((Data!$B$2:$B$53 + Settings!$B$4/24) &gt; A143))&gt;0)</f>
        <v>1</v>
      </c>
      <c r="C143">
        <f>--(SUMPRODUCT((Data!$C$2:$C$53="K12A")*((Data!$A$2:$A$53 - Settings!$B$4/24) &lt;= A143)*((Data!$B$2:$B$53 + Settings!$B$4/24) &gt; A143))&gt;0)</f>
        <v>0</v>
      </c>
      <c r="D143">
        <f>--(SUMPRODUCT((Data!$C$2:$C$53="K12")*((Data!$A$2:$A$53 - Settings!$B$4/24) &lt;= A143)*((Data!$B$2:$B$53 + Settings!$B$4/24) &gt; A143))&gt;0)</f>
        <v>1</v>
      </c>
      <c r="E143">
        <f>--(SUMPRODUCT((Data!$C$2:$C$53="K12B")*((Data!$A$2:$A$53 - Settings!$B$4/24) &lt;= A143)*((Data!$B$2:$B$53 + Settings!$B$4/24) &gt; A143))&gt;0)</f>
        <v>0</v>
      </c>
      <c r="F143">
        <f>--(SUMPRODUCT((Data!$C$2:$C$53="TT2")*((Data!$A$2:$A$53 - Settings!$B$4/24) &lt;= A143)*((Data!$B$2:$B$53 + Settings!$B$4/24) &gt; A143))&gt;0)</f>
        <v>1</v>
      </c>
    </row>
    <row r="144" spans="1:6" ht="15.6" x14ac:dyDescent="0.3">
      <c r="A144" s="1">
        <v>45937.917013888888</v>
      </c>
      <c r="B144">
        <f>--(SUMPRODUCT((Data!$C$2:$C$53="K12C")*((Data!$A$2:$A$53 - Settings!$B$4/24) &lt;= A144)*((Data!$B$2:$B$53 + Settings!$B$4/24) &gt; A144))&gt;0)</f>
        <v>1</v>
      </c>
      <c r="C144">
        <f>--(SUMPRODUCT((Data!$C$2:$C$53="K12A")*((Data!$A$2:$A$53 - Settings!$B$4/24) &lt;= A144)*((Data!$B$2:$B$53 + Settings!$B$4/24) &gt; A144))&gt;0)</f>
        <v>0</v>
      </c>
      <c r="D144">
        <f>--(SUMPRODUCT((Data!$C$2:$C$53="K12")*((Data!$A$2:$A$53 - Settings!$B$4/24) &lt;= A144)*((Data!$B$2:$B$53 + Settings!$B$4/24) &gt; A144))&gt;0)</f>
        <v>1</v>
      </c>
      <c r="E144">
        <f>--(SUMPRODUCT((Data!$C$2:$C$53="K12B")*((Data!$A$2:$A$53 - Settings!$B$4/24) &lt;= A144)*((Data!$B$2:$B$53 + Settings!$B$4/24) &gt; A144))&gt;0)</f>
        <v>0</v>
      </c>
      <c r="F144">
        <f>--(SUMPRODUCT((Data!$C$2:$C$53="TT2")*((Data!$A$2:$A$53 - Settings!$B$4/24) &lt;= A144)*((Data!$B$2:$B$53 + Settings!$B$4/24) &gt; A144))&gt;0)</f>
        <v>1</v>
      </c>
    </row>
    <row r="145" spans="1:6" ht="15.6" x14ac:dyDescent="0.3">
      <c r="A145" s="1">
        <v>45937.958680555559</v>
      </c>
      <c r="B145">
        <f>--(SUMPRODUCT((Data!$C$2:$C$53="K12C")*((Data!$A$2:$A$53 - Settings!$B$4/24) &lt;= A145)*((Data!$B$2:$B$53 + Settings!$B$4/24) &gt; A145))&gt;0)</f>
        <v>1</v>
      </c>
      <c r="C145">
        <f>--(SUMPRODUCT((Data!$C$2:$C$53="K12A")*((Data!$A$2:$A$53 - Settings!$B$4/24) &lt;= A145)*((Data!$B$2:$B$53 + Settings!$B$4/24) &gt; A145))&gt;0)</f>
        <v>0</v>
      </c>
      <c r="D145">
        <f>--(SUMPRODUCT((Data!$C$2:$C$53="K12")*((Data!$A$2:$A$53 - Settings!$B$4/24) &lt;= A145)*((Data!$B$2:$B$53 + Settings!$B$4/24) &gt; A145))&gt;0)</f>
        <v>1</v>
      </c>
      <c r="E145">
        <f>--(SUMPRODUCT((Data!$C$2:$C$53="K12B")*((Data!$A$2:$A$53 - Settings!$B$4/24) &lt;= A145)*((Data!$B$2:$B$53 + Settings!$B$4/24) &gt; A145))&gt;0)</f>
        <v>0</v>
      </c>
      <c r="F145">
        <f>--(SUMPRODUCT((Data!$C$2:$C$53="TT2")*((Data!$A$2:$A$53 - Settings!$B$4/24) &lt;= A145)*((Data!$B$2:$B$53 + Settings!$B$4/24) &gt; A145))&gt;0)</f>
        <v>1</v>
      </c>
    </row>
    <row r="146" spans="1:6" ht="15.6" x14ac:dyDescent="0.3">
      <c r="A146" s="1">
        <v>45938.000347222223</v>
      </c>
      <c r="B146">
        <f>--(SUMPRODUCT((Data!$C$2:$C$53="K12C")*((Data!$A$2:$A$53 - Settings!$B$4/24) &lt;= A146)*((Data!$B$2:$B$53 + Settings!$B$4/24) &gt; A146))&gt;0)</f>
        <v>1</v>
      </c>
      <c r="C146">
        <f>--(SUMPRODUCT((Data!$C$2:$C$53="K12A")*((Data!$A$2:$A$53 - Settings!$B$4/24) &lt;= A146)*((Data!$B$2:$B$53 + Settings!$B$4/24) &gt; A146))&gt;0)</f>
        <v>0</v>
      </c>
      <c r="D146">
        <f>--(SUMPRODUCT((Data!$C$2:$C$53="K12")*((Data!$A$2:$A$53 - Settings!$B$4/24) &lt;= A146)*((Data!$B$2:$B$53 + Settings!$B$4/24) &gt; A146))&gt;0)</f>
        <v>1</v>
      </c>
      <c r="E146">
        <f>--(SUMPRODUCT((Data!$C$2:$C$53="K12B")*((Data!$A$2:$A$53 - Settings!$B$4/24) &lt;= A146)*((Data!$B$2:$B$53 + Settings!$B$4/24) &gt; A146))&gt;0)</f>
        <v>0</v>
      </c>
      <c r="F146">
        <f>--(SUMPRODUCT((Data!$C$2:$C$53="TT2")*((Data!$A$2:$A$53 - Settings!$B$4/24) &lt;= A146)*((Data!$B$2:$B$53 + Settings!$B$4/24) &gt; A146))&gt;0)</f>
        <v>1</v>
      </c>
    </row>
    <row r="147" spans="1:6" ht="15.6" x14ac:dyDescent="0.3">
      <c r="A147" s="1">
        <v>45938.042013888888</v>
      </c>
      <c r="B147">
        <f>--(SUMPRODUCT((Data!$C$2:$C$53="K12C")*((Data!$A$2:$A$53 - Settings!$B$4/24) &lt;= A147)*((Data!$B$2:$B$53 + Settings!$B$4/24) &gt; A147))&gt;0)</f>
        <v>1</v>
      </c>
      <c r="C147">
        <f>--(SUMPRODUCT((Data!$C$2:$C$53="K12A")*((Data!$A$2:$A$53 - Settings!$B$4/24) &lt;= A147)*((Data!$B$2:$B$53 + Settings!$B$4/24) &gt; A147))&gt;0)</f>
        <v>0</v>
      </c>
      <c r="D147">
        <f>--(SUMPRODUCT((Data!$C$2:$C$53="K12")*((Data!$A$2:$A$53 - Settings!$B$4/24) &lt;= A147)*((Data!$B$2:$B$53 + Settings!$B$4/24) &gt; A147))&gt;0)</f>
        <v>1</v>
      </c>
      <c r="E147">
        <f>--(SUMPRODUCT((Data!$C$2:$C$53="K12B")*((Data!$A$2:$A$53 - Settings!$B$4/24) &lt;= A147)*((Data!$B$2:$B$53 + Settings!$B$4/24) &gt; A147))&gt;0)</f>
        <v>0</v>
      </c>
      <c r="F147">
        <f>--(SUMPRODUCT((Data!$C$2:$C$53="TT2")*((Data!$A$2:$A$53 - Settings!$B$4/24) &lt;= A147)*((Data!$B$2:$B$53 + Settings!$B$4/24) &gt; A147))&gt;0)</f>
        <v>1</v>
      </c>
    </row>
    <row r="148" spans="1:6" ht="15.6" x14ac:dyDescent="0.3">
      <c r="A148" s="1">
        <v>45938.083680555559</v>
      </c>
      <c r="B148">
        <f>--(SUMPRODUCT((Data!$C$2:$C$53="K12C")*((Data!$A$2:$A$53 - Settings!$B$4/24) &lt;= A148)*((Data!$B$2:$B$53 + Settings!$B$4/24) &gt; A148))&gt;0)</f>
        <v>1</v>
      </c>
      <c r="C148">
        <f>--(SUMPRODUCT((Data!$C$2:$C$53="K12A")*((Data!$A$2:$A$53 - Settings!$B$4/24) &lt;= A148)*((Data!$B$2:$B$53 + Settings!$B$4/24) &gt; A148))&gt;0)</f>
        <v>0</v>
      </c>
      <c r="D148">
        <f>--(SUMPRODUCT((Data!$C$2:$C$53="K12")*((Data!$A$2:$A$53 - Settings!$B$4/24) &lt;= A148)*((Data!$B$2:$B$53 + Settings!$B$4/24) &gt; A148))&gt;0)</f>
        <v>1</v>
      </c>
      <c r="E148">
        <f>--(SUMPRODUCT((Data!$C$2:$C$53="K12B")*((Data!$A$2:$A$53 - Settings!$B$4/24) &lt;= A148)*((Data!$B$2:$B$53 + Settings!$B$4/24) &gt; A148))&gt;0)</f>
        <v>0</v>
      </c>
      <c r="F148">
        <f>--(SUMPRODUCT((Data!$C$2:$C$53="TT2")*((Data!$A$2:$A$53 - Settings!$B$4/24) &lt;= A148)*((Data!$B$2:$B$53 + Settings!$B$4/24) &gt; A148))&gt;0)</f>
        <v>1</v>
      </c>
    </row>
    <row r="149" spans="1:6" ht="15.6" x14ac:dyDescent="0.3">
      <c r="A149" s="1">
        <v>45938.125347222223</v>
      </c>
      <c r="B149">
        <f>--(SUMPRODUCT((Data!$C$2:$C$53="K12C")*((Data!$A$2:$A$53 - Settings!$B$4/24) &lt;= A149)*((Data!$B$2:$B$53 + Settings!$B$4/24) &gt; A149))&gt;0)</f>
        <v>1</v>
      </c>
      <c r="C149">
        <f>--(SUMPRODUCT((Data!$C$2:$C$53="K12A")*((Data!$A$2:$A$53 - Settings!$B$4/24) &lt;= A149)*((Data!$B$2:$B$53 + Settings!$B$4/24) &gt; A149))&gt;0)</f>
        <v>0</v>
      </c>
      <c r="D149">
        <f>--(SUMPRODUCT((Data!$C$2:$C$53="K12")*((Data!$A$2:$A$53 - Settings!$B$4/24) &lt;= A149)*((Data!$B$2:$B$53 + Settings!$B$4/24) &gt; A149))&gt;0)</f>
        <v>1</v>
      </c>
      <c r="E149">
        <f>--(SUMPRODUCT((Data!$C$2:$C$53="K12B")*((Data!$A$2:$A$53 - Settings!$B$4/24) &lt;= A149)*((Data!$B$2:$B$53 + Settings!$B$4/24) &gt; A149))&gt;0)</f>
        <v>0</v>
      </c>
      <c r="F149">
        <f>--(SUMPRODUCT((Data!$C$2:$C$53="TT2")*((Data!$A$2:$A$53 - Settings!$B$4/24) &lt;= A149)*((Data!$B$2:$B$53 + Settings!$B$4/24) &gt; A149))&gt;0)</f>
        <v>1</v>
      </c>
    </row>
    <row r="150" spans="1:6" ht="15.6" x14ac:dyDescent="0.3">
      <c r="A150" s="1">
        <v>45938.167013888888</v>
      </c>
      <c r="B150">
        <f>--(SUMPRODUCT((Data!$C$2:$C$53="K12C")*((Data!$A$2:$A$53 - Settings!$B$4/24) &lt;= A150)*((Data!$B$2:$B$53 + Settings!$B$4/24) &gt; A150))&gt;0)</f>
        <v>0</v>
      </c>
      <c r="C150">
        <f>--(SUMPRODUCT((Data!$C$2:$C$53="K12A")*((Data!$A$2:$A$53 - Settings!$B$4/24) &lt;= A150)*((Data!$B$2:$B$53 + Settings!$B$4/24) &gt; A150))&gt;0)</f>
        <v>0</v>
      </c>
      <c r="D150">
        <f>--(SUMPRODUCT((Data!$C$2:$C$53="K12")*((Data!$A$2:$A$53 - Settings!$B$4/24) &lt;= A150)*((Data!$B$2:$B$53 + Settings!$B$4/24) &gt; A150))&gt;0)</f>
        <v>0</v>
      </c>
      <c r="E150">
        <f>--(SUMPRODUCT((Data!$C$2:$C$53="K12B")*((Data!$A$2:$A$53 - Settings!$B$4/24) &lt;= A150)*((Data!$B$2:$B$53 + Settings!$B$4/24) &gt; A150))&gt;0)</f>
        <v>0</v>
      </c>
      <c r="F150">
        <f>--(SUMPRODUCT((Data!$C$2:$C$53="TT2")*((Data!$A$2:$A$53 - Settings!$B$4/24) &lt;= A150)*((Data!$B$2:$B$53 + Settings!$B$4/24) &gt; A150))&gt;0)</f>
        <v>1</v>
      </c>
    </row>
    <row r="151" spans="1:6" ht="15.6" x14ac:dyDescent="0.3">
      <c r="A151" s="1">
        <v>45938.208680555559</v>
      </c>
      <c r="B151">
        <f>--(SUMPRODUCT((Data!$C$2:$C$53="K12C")*((Data!$A$2:$A$53 - Settings!$B$4/24) &lt;= A151)*((Data!$B$2:$B$53 + Settings!$B$4/24) &gt; A151))&gt;0)</f>
        <v>0</v>
      </c>
      <c r="C151">
        <f>--(SUMPRODUCT((Data!$C$2:$C$53="K12A")*((Data!$A$2:$A$53 - Settings!$B$4/24) &lt;= A151)*((Data!$B$2:$B$53 + Settings!$B$4/24) &gt; A151))&gt;0)</f>
        <v>0</v>
      </c>
      <c r="D151">
        <f>--(SUMPRODUCT((Data!$C$2:$C$53="K12")*((Data!$A$2:$A$53 - Settings!$B$4/24) &lt;= A151)*((Data!$B$2:$B$53 + Settings!$B$4/24) &gt; A151))&gt;0)</f>
        <v>0</v>
      </c>
      <c r="E151">
        <f>--(SUMPRODUCT((Data!$C$2:$C$53="K12B")*((Data!$A$2:$A$53 - Settings!$B$4/24) &lt;= A151)*((Data!$B$2:$B$53 + Settings!$B$4/24) &gt; A151))&gt;0)</f>
        <v>0</v>
      </c>
      <c r="F151">
        <f>--(SUMPRODUCT((Data!$C$2:$C$53="TT2")*((Data!$A$2:$A$53 - Settings!$B$4/24) &lt;= A151)*((Data!$B$2:$B$53 + Settings!$B$4/24) &gt; A151))&gt;0)</f>
        <v>1</v>
      </c>
    </row>
    <row r="152" spans="1:6" ht="15.6" x14ac:dyDescent="0.3">
      <c r="A152" s="1">
        <v>45938.250347222223</v>
      </c>
      <c r="B152">
        <f>--(SUMPRODUCT((Data!$C$2:$C$53="K12C")*((Data!$A$2:$A$53 - Settings!$B$4/24) &lt;= A152)*((Data!$B$2:$B$53 + Settings!$B$4/24) &gt; A152))&gt;0)</f>
        <v>0</v>
      </c>
      <c r="C152">
        <f>--(SUMPRODUCT((Data!$C$2:$C$53="K12A")*((Data!$A$2:$A$53 - Settings!$B$4/24) &lt;= A152)*((Data!$B$2:$B$53 + Settings!$B$4/24) &gt; A152))&gt;0)</f>
        <v>0</v>
      </c>
      <c r="D152">
        <f>--(SUMPRODUCT((Data!$C$2:$C$53="K12")*((Data!$A$2:$A$53 - Settings!$B$4/24) &lt;= A152)*((Data!$B$2:$B$53 + Settings!$B$4/24) &gt; A152))&gt;0)</f>
        <v>0</v>
      </c>
      <c r="E152">
        <f>--(SUMPRODUCT((Data!$C$2:$C$53="K12B")*((Data!$A$2:$A$53 - Settings!$B$4/24) &lt;= A152)*((Data!$B$2:$B$53 + Settings!$B$4/24) &gt; A152))&gt;0)</f>
        <v>0</v>
      </c>
      <c r="F152">
        <f>--(SUMPRODUCT((Data!$C$2:$C$53="TT2")*((Data!$A$2:$A$53 - Settings!$B$4/24) &lt;= A152)*((Data!$B$2:$B$53 + Settings!$B$4/24) &gt; A152))&gt;0)</f>
        <v>1</v>
      </c>
    </row>
    <row r="153" spans="1:6" ht="15.6" x14ac:dyDescent="0.3">
      <c r="A153" s="1">
        <v>45938.292013888888</v>
      </c>
      <c r="B153">
        <f>--(SUMPRODUCT((Data!$C$2:$C$53="K12C")*((Data!$A$2:$A$53 - Settings!$B$4/24) &lt;= A153)*((Data!$B$2:$B$53 + Settings!$B$4/24) &gt; A153))&gt;0)</f>
        <v>0</v>
      </c>
      <c r="C153">
        <f>--(SUMPRODUCT((Data!$C$2:$C$53="K12A")*((Data!$A$2:$A$53 - Settings!$B$4/24) &lt;= A153)*((Data!$B$2:$B$53 + Settings!$B$4/24) &gt; A153))&gt;0)</f>
        <v>0</v>
      </c>
      <c r="D153">
        <f>--(SUMPRODUCT((Data!$C$2:$C$53="K12")*((Data!$A$2:$A$53 - Settings!$B$4/24) &lt;= A153)*((Data!$B$2:$B$53 + Settings!$B$4/24) &gt; A153))&gt;0)</f>
        <v>0</v>
      </c>
      <c r="E153">
        <f>--(SUMPRODUCT((Data!$C$2:$C$53="K12B")*((Data!$A$2:$A$53 - Settings!$B$4/24) &lt;= A153)*((Data!$B$2:$B$53 + Settings!$B$4/24) &gt; A153))&gt;0)</f>
        <v>0</v>
      </c>
      <c r="F153">
        <f>--(SUMPRODUCT((Data!$C$2:$C$53="TT2")*((Data!$A$2:$A$53 - Settings!$B$4/24) &lt;= A153)*((Data!$B$2:$B$53 + Settings!$B$4/24) &gt; A153))&gt;0)</f>
        <v>1</v>
      </c>
    </row>
    <row r="154" spans="1:6" ht="15.6" x14ac:dyDescent="0.3">
      <c r="A154" s="1">
        <v>45938.333680555559</v>
      </c>
      <c r="B154">
        <f>--(SUMPRODUCT((Data!$C$2:$C$53="K12C")*((Data!$A$2:$A$53 - Settings!$B$4/24) &lt;= A154)*((Data!$B$2:$B$53 + Settings!$B$4/24) &gt; A154))&gt;0)</f>
        <v>0</v>
      </c>
      <c r="C154">
        <f>--(SUMPRODUCT((Data!$C$2:$C$53="K12A")*((Data!$A$2:$A$53 - Settings!$B$4/24) &lt;= A154)*((Data!$B$2:$B$53 + Settings!$B$4/24) &gt; A154))&gt;0)</f>
        <v>0</v>
      </c>
      <c r="D154">
        <f>--(SUMPRODUCT((Data!$C$2:$C$53="K12")*((Data!$A$2:$A$53 - Settings!$B$4/24) &lt;= A154)*((Data!$B$2:$B$53 + Settings!$B$4/24) &gt; A154))&gt;0)</f>
        <v>0</v>
      </c>
      <c r="E154">
        <f>--(SUMPRODUCT((Data!$C$2:$C$53="K12B")*((Data!$A$2:$A$53 - Settings!$B$4/24) &lt;= A154)*((Data!$B$2:$B$53 + Settings!$B$4/24) &gt; A154))&gt;0)</f>
        <v>0</v>
      </c>
      <c r="F154">
        <f>--(SUMPRODUCT((Data!$C$2:$C$53="TT2")*((Data!$A$2:$A$53 - Settings!$B$4/24) &lt;= A154)*((Data!$B$2:$B$53 + Settings!$B$4/24) &gt; A154))&gt;0)</f>
        <v>1</v>
      </c>
    </row>
    <row r="155" spans="1:6" ht="15.6" x14ac:dyDescent="0.3">
      <c r="A155" s="1">
        <v>45938.375347222223</v>
      </c>
      <c r="B155">
        <f>--(SUMPRODUCT((Data!$C$2:$C$53="K12C")*((Data!$A$2:$A$53 - Settings!$B$4/24) &lt;= A155)*((Data!$B$2:$B$53 + Settings!$B$4/24) &gt; A155))&gt;0)</f>
        <v>0</v>
      </c>
      <c r="C155">
        <f>--(SUMPRODUCT((Data!$C$2:$C$53="K12A")*((Data!$A$2:$A$53 - Settings!$B$4/24) &lt;= A155)*((Data!$B$2:$B$53 + Settings!$B$4/24) &gt; A155))&gt;0)</f>
        <v>0</v>
      </c>
      <c r="D155">
        <f>--(SUMPRODUCT((Data!$C$2:$C$53="K12")*((Data!$A$2:$A$53 - Settings!$B$4/24) &lt;= A155)*((Data!$B$2:$B$53 + Settings!$B$4/24) &gt; A155))&gt;0)</f>
        <v>0</v>
      </c>
      <c r="E155">
        <f>--(SUMPRODUCT((Data!$C$2:$C$53="K12B")*((Data!$A$2:$A$53 - Settings!$B$4/24) &lt;= A155)*((Data!$B$2:$B$53 + Settings!$B$4/24) &gt; A155))&gt;0)</f>
        <v>0</v>
      </c>
      <c r="F155">
        <f>--(SUMPRODUCT((Data!$C$2:$C$53="TT2")*((Data!$A$2:$A$53 - Settings!$B$4/24) &lt;= A155)*((Data!$B$2:$B$53 + Settings!$B$4/24) &gt; A155))&gt;0)</f>
        <v>1</v>
      </c>
    </row>
    <row r="156" spans="1:6" ht="15.6" x14ac:dyDescent="0.3">
      <c r="A156" s="1">
        <v>45938.417013888888</v>
      </c>
      <c r="B156">
        <f>--(SUMPRODUCT((Data!$C$2:$C$53="K12C")*((Data!$A$2:$A$53 - Settings!$B$4/24) &lt;= A156)*((Data!$B$2:$B$53 + Settings!$B$4/24) &gt; A156))&gt;0)</f>
        <v>0</v>
      </c>
      <c r="C156">
        <f>--(SUMPRODUCT((Data!$C$2:$C$53="K12A")*((Data!$A$2:$A$53 - Settings!$B$4/24) &lt;= A156)*((Data!$B$2:$B$53 + Settings!$B$4/24) &gt; A156))&gt;0)</f>
        <v>0</v>
      </c>
      <c r="D156">
        <f>--(SUMPRODUCT((Data!$C$2:$C$53="K12")*((Data!$A$2:$A$53 - Settings!$B$4/24) &lt;= A156)*((Data!$B$2:$B$53 + Settings!$B$4/24) &gt; A156))&gt;0)</f>
        <v>0</v>
      </c>
      <c r="E156">
        <f>--(SUMPRODUCT((Data!$C$2:$C$53="K12B")*((Data!$A$2:$A$53 - Settings!$B$4/24) &lt;= A156)*((Data!$B$2:$B$53 + Settings!$B$4/24) &gt; A156))&gt;0)</f>
        <v>0</v>
      </c>
      <c r="F156">
        <f>--(SUMPRODUCT((Data!$C$2:$C$53="TT2")*((Data!$A$2:$A$53 - Settings!$B$4/24) &lt;= A156)*((Data!$B$2:$B$53 + Settings!$B$4/24) &gt; A156))&gt;0)</f>
        <v>1</v>
      </c>
    </row>
    <row r="157" spans="1:6" ht="15.6" x14ac:dyDescent="0.3">
      <c r="A157" s="1">
        <v>45938.458680555559</v>
      </c>
      <c r="B157">
        <f>--(SUMPRODUCT((Data!$C$2:$C$53="K12C")*((Data!$A$2:$A$53 - Settings!$B$4/24) &lt;= A157)*((Data!$B$2:$B$53 + Settings!$B$4/24) &gt; A157))&gt;0)</f>
        <v>0</v>
      </c>
      <c r="C157">
        <f>--(SUMPRODUCT((Data!$C$2:$C$53="K12A")*((Data!$A$2:$A$53 - Settings!$B$4/24) &lt;= A157)*((Data!$B$2:$B$53 + Settings!$B$4/24) &gt; A157))&gt;0)</f>
        <v>0</v>
      </c>
      <c r="D157">
        <f>--(SUMPRODUCT((Data!$C$2:$C$53="K12")*((Data!$A$2:$A$53 - Settings!$B$4/24) &lt;= A157)*((Data!$B$2:$B$53 + Settings!$B$4/24) &gt; A157))&gt;0)</f>
        <v>0</v>
      </c>
      <c r="E157">
        <f>--(SUMPRODUCT((Data!$C$2:$C$53="K12B")*((Data!$A$2:$A$53 - Settings!$B$4/24) &lt;= A157)*((Data!$B$2:$B$53 + Settings!$B$4/24) &gt; A157))&gt;0)</f>
        <v>0</v>
      </c>
      <c r="F157">
        <f>--(SUMPRODUCT((Data!$C$2:$C$53="TT2")*((Data!$A$2:$A$53 - Settings!$B$4/24) &lt;= A157)*((Data!$B$2:$B$53 + Settings!$B$4/24) &gt; A157))&gt;0)</f>
        <v>1</v>
      </c>
    </row>
    <row r="158" spans="1:6" ht="15.6" x14ac:dyDescent="0.3">
      <c r="A158" s="1">
        <v>45938.500347222223</v>
      </c>
      <c r="B158">
        <f>--(SUMPRODUCT((Data!$C$2:$C$53="K12C")*((Data!$A$2:$A$53 - Settings!$B$4/24) &lt;= A158)*((Data!$B$2:$B$53 + Settings!$B$4/24) &gt; A158))&gt;0)</f>
        <v>0</v>
      </c>
      <c r="C158">
        <f>--(SUMPRODUCT((Data!$C$2:$C$53="K12A")*((Data!$A$2:$A$53 - Settings!$B$4/24) &lt;= A158)*((Data!$B$2:$B$53 + Settings!$B$4/24) &gt; A158))&gt;0)</f>
        <v>0</v>
      </c>
      <c r="D158">
        <f>--(SUMPRODUCT((Data!$C$2:$C$53="K12")*((Data!$A$2:$A$53 - Settings!$B$4/24) &lt;= A158)*((Data!$B$2:$B$53 + Settings!$B$4/24) &gt; A158))&gt;0)</f>
        <v>0</v>
      </c>
      <c r="E158">
        <f>--(SUMPRODUCT((Data!$C$2:$C$53="K12B")*((Data!$A$2:$A$53 - Settings!$B$4/24) &lt;= A158)*((Data!$B$2:$B$53 + Settings!$B$4/24) &gt; A158))&gt;0)</f>
        <v>0</v>
      </c>
      <c r="F158">
        <f>--(SUMPRODUCT((Data!$C$2:$C$53="TT2")*((Data!$A$2:$A$53 - Settings!$B$4/24) &lt;= A158)*((Data!$B$2:$B$53 + Settings!$B$4/24) &gt; A158))&gt;0)</f>
        <v>1</v>
      </c>
    </row>
    <row r="159" spans="1:6" ht="15.6" x14ac:dyDescent="0.3">
      <c r="A159" s="1">
        <v>45938.542013888888</v>
      </c>
      <c r="B159">
        <f>--(SUMPRODUCT((Data!$C$2:$C$53="K12C")*((Data!$A$2:$A$53 - Settings!$B$4/24) &lt;= A159)*((Data!$B$2:$B$53 + Settings!$B$4/24) &gt; A159))&gt;0)</f>
        <v>0</v>
      </c>
      <c r="C159">
        <f>--(SUMPRODUCT((Data!$C$2:$C$53="K12A")*((Data!$A$2:$A$53 - Settings!$B$4/24) &lt;= A159)*((Data!$B$2:$B$53 + Settings!$B$4/24) &gt; A159))&gt;0)</f>
        <v>0</v>
      </c>
      <c r="D159">
        <f>--(SUMPRODUCT((Data!$C$2:$C$53="K12")*((Data!$A$2:$A$53 - Settings!$B$4/24) &lt;= A159)*((Data!$B$2:$B$53 + Settings!$B$4/24) &gt; A159))&gt;0)</f>
        <v>0</v>
      </c>
      <c r="E159">
        <f>--(SUMPRODUCT((Data!$C$2:$C$53="K12B")*((Data!$A$2:$A$53 - Settings!$B$4/24) &lt;= A159)*((Data!$B$2:$B$53 + Settings!$B$4/24) &gt; A159))&gt;0)</f>
        <v>0</v>
      </c>
      <c r="F159">
        <f>--(SUMPRODUCT((Data!$C$2:$C$53="TT2")*((Data!$A$2:$A$53 - Settings!$B$4/24) &lt;= A159)*((Data!$B$2:$B$53 + Settings!$B$4/24) &gt; A159))&gt;0)</f>
        <v>1</v>
      </c>
    </row>
    <row r="160" spans="1:6" ht="15.6" x14ac:dyDescent="0.3">
      <c r="A160" s="1">
        <v>45938.583680555559</v>
      </c>
      <c r="B160">
        <f>--(SUMPRODUCT((Data!$C$2:$C$53="K12C")*((Data!$A$2:$A$53 - Settings!$B$4/24) &lt;= A160)*((Data!$B$2:$B$53 + Settings!$B$4/24) &gt; A160))&gt;0)</f>
        <v>0</v>
      </c>
      <c r="C160">
        <f>--(SUMPRODUCT((Data!$C$2:$C$53="K12A")*((Data!$A$2:$A$53 - Settings!$B$4/24) &lt;= A160)*((Data!$B$2:$B$53 + Settings!$B$4/24) &gt; A160))&gt;0)</f>
        <v>0</v>
      </c>
      <c r="D160">
        <f>--(SUMPRODUCT((Data!$C$2:$C$53="K12")*((Data!$A$2:$A$53 - Settings!$B$4/24) &lt;= A160)*((Data!$B$2:$B$53 + Settings!$B$4/24) &gt; A160))&gt;0)</f>
        <v>0</v>
      </c>
      <c r="E160">
        <f>--(SUMPRODUCT((Data!$C$2:$C$53="K12B")*((Data!$A$2:$A$53 - Settings!$B$4/24) &lt;= A160)*((Data!$B$2:$B$53 + Settings!$B$4/24) &gt; A160))&gt;0)</f>
        <v>0</v>
      </c>
      <c r="F160">
        <f>--(SUMPRODUCT((Data!$C$2:$C$53="TT2")*((Data!$A$2:$A$53 - Settings!$B$4/24) &lt;= A160)*((Data!$B$2:$B$53 + Settings!$B$4/24) &gt; A160))&gt;0)</f>
        <v>1</v>
      </c>
    </row>
    <row r="161" spans="1:6" ht="15.6" x14ac:dyDescent="0.3">
      <c r="A161" s="1">
        <v>45938.625347222223</v>
      </c>
      <c r="B161">
        <f>--(SUMPRODUCT((Data!$C$2:$C$53="K12C")*((Data!$A$2:$A$53 - Settings!$B$4/24) &lt;= A161)*((Data!$B$2:$B$53 + Settings!$B$4/24) &gt; A161))&gt;0)</f>
        <v>0</v>
      </c>
      <c r="C161">
        <f>--(SUMPRODUCT((Data!$C$2:$C$53="K12A")*((Data!$A$2:$A$53 - Settings!$B$4/24) &lt;= A161)*((Data!$B$2:$B$53 + Settings!$B$4/24) &gt; A161))&gt;0)</f>
        <v>0</v>
      </c>
      <c r="D161">
        <f>--(SUMPRODUCT((Data!$C$2:$C$53="K12")*((Data!$A$2:$A$53 - Settings!$B$4/24) &lt;= A161)*((Data!$B$2:$B$53 + Settings!$B$4/24) &gt; A161))&gt;0)</f>
        <v>0</v>
      </c>
      <c r="E161">
        <f>--(SUMPRODUCT((Data!$C$2:$C$53="K12B")*((Data!$A$2:$A$53 - Settings!$B$4/24) &lt;= A161)*((Data!$B$2:$B$53 + Settings!$B$4/24) &gt; A161))&gt;0)</f>
        <v>0</v>
      </c>
      <c r="F161">
        <f>--(SUMPRODUCT((Data!$C$2:$C$53="TT2")*((Data!$A$2:$A$53 - Settings!$B$4/24) &lt;= A161)*((Data!$B$2:$B$53 + Settings!$B$4/24) &gt; A161))&gt;0)</f>
        <v>1</v>
      </c>
    </row>
    <row r="162" spans="1:6" ht="15.6" x14ac:dyDescent="0.3">
      <c r="A162" s="1">
        <v>45938.667013888888</v>
      </c>
      <c r="B162">
        <f>--(SUMPRODUCT((Data!$C$2:$C$53="K12C")*((Data!$A$2:$A$53 - Settings!$B$4/24) &lt;= A162)*((Data!$B$2:$B$53 + Settings!$B$4/24) &gt; A162))&gt;0)</f>
        <v>0</v>
      </c>
      <c r="C162">
        <f>--(SUMPRODUCT((Data!$C$2:$C$53="K12A")*((Data!$A$2:$A$53 - Settings!$B$4/24) &lt;= A162)*((Data!$B$2:$B$53 + Settings!$B$4/24) &gt; A162))&gt;0)</f>
        <v>0</v>
      </c>
      <c r="D162">
        <f>--(SUMPRODUCT((Data!$C$2:$C$53="K12")*((Data!$A$2:$A$53 - Settings!$B$4/24) &lt;= A162)*((Data!$B$2:$B$53 + Settings!$B$4/24) &gt; A162))&gt;0)</f>
        <v>0</v>
      </c>
      <c r="E162">
        <f>--(SUMPRODUCT((Data!$C$2:$C$53="K12B")*((Data!$A$2:$A$53 - Settings!$B$4/24) &lt;= A162)*((Data!$B$2:$B$53 + Settings!$B$4/24) &gt; A162))&gt;0)</f>
        <v>0</v>
      </c>
      <c r="F162">
        <f>--(SUMPRODUCT((Data!$C$2:$C$53="TT2")*((Data!$A$2:$A$53 - Settings!$B$4/24) &lt;= A162)*((Data!$B$2:$B$53 + Settings!$B$4/24) &gt; A162))&gt;0)</f>
        <v>1</v>
      </c>
    </row>
    <row r="163" spans="1:6" ht="15.6" x14ac:dyDescent="0.3">
      <c r="A163" s="1">
        <v>45938.708680555559</v>
      </c>
      <c r="B163">
        <f>--(SUMPRODUCT((Data!$C$2:$C$53="K12C")*((Data!$A$2:$A$53 - Settings!$B$4/24) &lt;= A163)*((Data!$B$2:$B$53 + Settings!$B$4/24) &gt; A163))&gt;0)</f>
        <v>0</v>
      </c>
      <c r="C163">
        <f>--(SUMPRODUCT((Data!$C$2:$C$53="K12A")*((Data!$A$2:$A$53 - Settings!$B$4/24) &lt;= A163)*((Data!$B$2:$B$53 + Settings!$B$4/24) &gt; A163))&gt;0)</f>
        <v>0</v>
      </c>
      <c r="D163">
        <f>--(SUMPRODUCT((Data!$C$2:$C$53="K12")*((Data!$A$2:$A$53 - Settings!$B$4/24) &lt;= A163)*((Data!$B$2:$B$53 + Settings!$B$4/24) &gt; A163))&gt;0)</f>
        <v>0</v>
      </c>
      <c r="E163">
        <f>--(SUMPRODUCT((Data!$C$2:$C$53="K12B")*((Data!$A$2:$A$53 - Settings!$B$4/24) &lt;= A163)*((Data!$B$2:$B$53 + Settings!$B$4/24) &gt; A163))&gt;0)</f>
        <v>0</v>
      </c>
      <c r="F163">
        <f>--(SUMPRODUCT((Data!$C$2:$C$53="TT2")*((Data!$A$2:$A$53 - Settings!$B$4/24) &lt;= A163)*((Data!$B$2:$B$53 + Settings!$B$4/24) &gt; A163))&gt;0)</f>
        <v>1</v>
      </c>
    </row>
    <row r="164" spans="1:6" ht="15.6" x14ac:dyDescent="0.3">
      <c r="A164" s="1">
        <v>45938.750347222223</v>
      </c>
      <c r="B164">
        <f>--(SUMPRODUCT((Data!$C$2:$C$53="K12C")*((Data!$A$2:$A$53 - Settings!$B$4/24) &lt;= A164)*((Data!$B$2:$B$53 + Settings!$B$4/24) &gt; A164))&gt;0)</f>
        <v>0</v>
      </c>
      <c r="C164">
        <f>--(SUMPRODUCT((Data!$C$2:$C$53="K12A")*((Data!$A$2:$A$53 - Settings!$B$4/24) &lt;= A164)*((Data!$B$2:$B$53 + Settings!$B$4/24) &gt; A164))&gt;0)</f>
        <v>0</v>
      </c>
      <c r="D164">
        <f>--(SUMPRODUCT((Data!$C$2:$C$53="K12")*((Data!$A$2:$A$53 - Settings!$B$4/24) &lt;= A164)*((Data!$B$2:$B$53 + Settings!$B$4/24) &gt; A164))&gt;0)</f>
        <v>0</v>
      </c>
      <c r="E164">
        <f>--(SUMPRODUCT((Data!$C$2:$C$53="K12B")*((Data!$A$2:$A$53 - Settings!$B$4/24) &lt;= A164)*((Data!$B$2:$B$53 + Settings!$B$4/24) &gt; A164))&gt;0)</f>
        <v>0</v>
      </c>
      <c r="F164">
        <f>--(SUMPRODUCT((Data!$C$2:$C$53="TT2")*((Data!$A$2:$A$53 - Settings!$B$4/24) &lt;= A164)*((Data!$B$2:$B$53 + Settings!$B$4/24) &gt; A164))&gt;0)</f>
        <v>1</v>
      </c>
    </row>
    <row r="165" spans="1:6" ht="15.6" x14ac:dyDescent="0.3">
      <c r="A165" s="1">
        <v>45938.792013888888</v>
      </c>
      <c r="B165">
        <f>--(SUMPRODUCT((Data!$C$2:$C$53="K12C")*((Data!$A$2:$A$53 - Settings!$B$4/24) &lt;= A165)*((Data!$B$2:$B$53 + Settings!$B$4/24) &gt; A165))&gt;0)</f>
        <v>0</v>
      </c>
      <c r="C165">
        <f>--(SUMPRODUCT((Data!$C$2:$C$53="K12A")*((Data!$A$2:$A$53 - Settings!$B$4/24) &lt;= A165)*((Data!$B$2:$B$53 + Settings!$B$4/24) &gt; A165))&gt;0)</f>
        <v>0</v>
      </c>
      <c r="D165">
        <f>--(SUMPRODUCT((Data!$C$2:$C$53="K12")*((Data!$A$2:$A$53 - Settings!$B$4/24) &lt;= A165)*((Data!$B$2:$B$53 + Settings!$B$4/24) &gt; A165))&gt;0)</f>
        <v>0</v>
      </c>
      <c r="E165">
        <f>--(SUMPRODUCT((Data!$C$2:$C$53="K12B")*((Data!$A$2:$A$53 - Settings!$B$4/24) &lt;= A165)*((Data!$B$2:$B$53 + Settings!$B$4/24) &gt; A165))&gt;0)</f>
        <v>0</v>
      </c>
      <c r="F165">
        <f>--(SUMPRODUCT((Data!$C$2:$C$53="TT2")*((Data!$A$2:$A$53 - Settings!$B$4/24) &lt;= A165)*((Data!$B$2:$B$53 + Settings!$B$4/24) &gt; A165))&gt;0)</f>
        <v>1</v>
      </c>
    </row>
    <row r="166" spans="1:6" ht="15.6" x14ac:dyDescent="0.3">
      <c r="A166" s="1">
        <v>45938.833680555559</v>
      </c>
      <c r="B166">
        <f>--(SUMPRODUCT((Data!$C$2:$C$53="K12C")*((Data!$A$2:$A$53 - Settings!$B$4/24) &lt;= A166)*((Data!$B$2:$B$53 + Settings!$B$4/24) &gt; A166))&gt;0)</f>
        <v>0</v>
      </c>
      <c r="C166">
        <f>--(SUMPRODUCT((Data!$C$2:$C$53="K12A")*((Data!$A$2:$A$53 - Settings!$B$4/24) &lt;= A166)*((Data!$B$2:$B$53 + Settings!$B$4/24) &gt; A166))&gt;0)</f>
        <v>0</v>
      </c>
      <c r="D166">
        <f>--(SUMPRODUCT((Data!$C$2:$C$53="K12")*((Data!$A$2:$A$53 - Settings!$B$4/24) &lt;= A166)*((Data!$B$2:$B$53 + Settings!$B$4/24) &gt; A166))&gt;0)</f>
        <v>0</v>
      </c>
      <c r="E166">
        <f>--(SUMPRODUCT((Data!$C$2:$C$53="K12B")*((Data!$A$2:$A$53 - Settings!$B$4/24) &lt;= A166)*((Data!$B$2:$B$53 + Settings!$B$4/24) &gt; A166))&gt;0)</f>
        <v>0</v>
      </c>
      <c r="F166">
        <f>--(SUMPRODUCT((Data!$C$2:$C$53="TT2")*((Data!$A$2:$A$53 - Settings!$B$4/24) &lt;= A166)*((Data!$B$2:$B$53 + Settings!$B$4/24) &gt; A166))&gt;0)</f>
        <v>1</v>
      </c>
    </row>
    <row r="167" spans="1:6" ht="15.6" x14ac:dyDescent="0.3">
      <c r="A167" s="1">
        <v>45938.875347222223</v>
      </c>
      <c r="B167">
        <f>--(SUMPRODUCT((Data!$C$2:$C$53="K12C")*((Data!$A$2:$A$53 - Settings!$B$4/24) &lt;= A167)*((Data!$B$2:$B$53 + Settings!$B$4/24) &gt; A167))&gt;0)</f>
        <v>0</v>
      </c>
      <c r="C167">
        <f>--(SUMPRODUCT((Data!$C$2:$C$53="K12A")*((Data!$A$2:$A$53 - Settings!$B$4/24) &lt;= A167)*((Data!$B$2:$B$53 + Settings!$B$4/24) &gt; A167))&gt;0)</f>
        <v>0</v>
      </c>
      <c r="D167">
        <f>--(SUMPRODUCT((Data!$C$2:$C$53="K12")*((Data!$A$2:$A$53 - Settings!$B$4/24) &lt;= A167)*((Data!$B$2:$B$53 + Settings!$B$4/24) &gt; A167))&gt;0)</f>
        <v>0</v>
      </c>
      <c r="E167">
        <f>--(SUMPRODUCT((Data!$C$2:$C$53="K12B")*((Data!$A$2:$A$53 - Settings!$B$4/24) &lt;= A167)*((Data!$B$2:$B$53 + Settings!$B$4/24) &gt; A167))&gt;0)</f>
        <v>0</v>
      </c>
      <c r="F167">
        <f>--(SUMPRODUCT((Data!$C$2:$C$53="TT2")*((Data!$A$2:$A$53 - Settings!$B$4/24) &lt;= A167)*((Data!$B$2:$B$53 + Settings!$B$4/24) &gt; A167))&gt;0)</f>
        <v>1</v>
      </c>
    </row>
    <row r="168" spans="1:6" ht="15.6" x14ac:dyDescent="0.3">
      <c r="A168" s="1">
        <v>45938.917013888888</v>
      </c>
      <c r="B168">
        <f>--(SUMPRODUCT((Data!$C$2:$C$53="K12C")*((Data!$A$2:$A$53 - Settings!$B$4/24) &lt;= A168)*((Data!$B$2:$B$53 + Settings!$B$4/24) &gt; A168))&gt;0)</f>
        <v>0</v>
      </c>
      <c r="C168">
        <f>--(SUMPRODUCT((Data!$C$2:$C$53="K12A")*((Data!$A$2:$A$53 - Settings!$B$4/24) &lt;= A168)*((Data!$B$2:$B$53 + Settings!$B$4/24) &gt; A168))&gt;0)</f>
        <v>0</v>
      </c>
      <c r="D168">
        <f>--(SUMPRODUCT((Data!$C$2:$C$53="K12")*((Data!$A$2:$A$53 - Settings!$B$4/24) &lt;= A168)*((Data!$B$2:$B$53 + Settings!$B$4/24) &gt; A168))&gt;0)</f>
        <v>0</v>
      </c>
      <c r="E168">
        <f>--(SUMPRODUCT((Data!$C$2:$C$53="K12B")*((Data!$A$2:$A$53 - Settings!$B$4/24) &lt;= A168)*((Data!$B$2:$B$53 + Settings!$B$4/24) &gt; A168))&gt;0)</f>
        <v>0</v>
      </c>
      <c r="F168">
        <f>--(SUMPRODUCT((Data!$C$2:$C$53="TT2")*((Data!$A$2:$A$53 - Settings!$B$4/24) &lt;= A168)*((Data!$B$2:$B$53 + Settings!$B$4/24) &gt; A168))&gt;0)</f>
        <v>1</v>
      </c>
    </row>
    <row r="169" spans="1:6" ht="15.6" x14ac:dyDescent="0.3">
      <c r="A169" s="1">
        <v>45938.958680555559</v>
      </c>
      <c r="B169">
        <f>--(SUMPRODUCT((Data!$C$2:$C$53="K12C")*((Data!$A$2:$A$53 - Settings!$B$4/24) &lt;= A169)*((Data!$B$2:$B$53 + Settings!$B$4/24) &gt; A169))&gt;0)</f>
        <v>0</v>
      </c>
      <c r="C169">
        <f>--(SUMPRODUCT((Data!$C$2:$C$53="K12A")*((Data!$A$2:$A$53 - Settings!$B$4/24) &lt;= A169)*((Data!$B$2:$B$53 + Settings!$B$4/24) &gt; A169))&gt;0)</f>
        <v>0</v>
      </c>
      <c r="D169">
        <f>--(SUMPRODUCT((Data!$C$2:$C$53="K12")*((Data!$A$2:$A$53 - Settings!$B$4/24) &lt;= A169)*((Data!$B$2:$B$53 + Settings!$B$4/24) &gt; A169))&gt;0)</f>
        <v>0</v>
      </c>
      <c r="E169">
        <f>--(SUMPRODUCT((Data!$C$2:$C$53="K12B")*((Data!$A$2:$A$53 - Settings!$B$4/24) &lt;= A169)*((Data!$B$2:$B$53 + Settings!$B$4/24) &gt; A169))&gt;0)</f>
        <v>0</v>
      </c>
      <c r="F169">
        <f>--(SUMPRODUCT((Data!$C$2:$C$53="TT2")*((Data!$A$2:$A$53 - Settings!$B$4/24) &lt;= A169)*((Data!$B$2:$B$53 + Settings!$B$4/24) &gt; A169))&gt;0)</f>
        <v>1</v>
      </c>
    </row>
    <row r="170" spans="1:6" ht="15.6" x14ac:dyDescent="0.3">
      <c r="A170" s="1">
        <v>45939.000347222223</v>
      </c>
      <c r="B170">
        <f>--(SUMPRODUCT((Data!$C$2:$C$53="K12C")*((Data!$A$2:$A$53 - Settings!$B$4/24) &lt;= A170)*((Data!$B$2:$B$53 + Settings!$B$4/24) &gt; A170))&gt;0)</f>
        <v>0</v>
      </c>
      <c r="C170">
        <f>--(SUMPRODUCT((Data!$C$2:$C$53="K12A")*((Data!$A$2:$A$53 - Settings!$B$4/24) &lt;= A170)*((Data!$B$2:$B$53 + Settings!$B$4/24) &gt; A170))&gt;0)</f>
        <v>0</v>
      </c>
      <c r="D170">
        <f>--(SUMPRODUCT((Data!$C$2:$C$53="K12")*((Data!$A$2:$A$53 - Settings!$B$4/24) &lt;= A170)*((Data!$B$2:$B$53 + Settings!$B$4/24) &gt; A170))&gt;0)</f>
        <v>0</v>
      </c>
      <c r="E170">
        <f>--(SUMPRODUCT((Data!$C$2:$C$53="K12B")*((Data!$A$2:$A$53 - Settings!$B$4/24) &lt;= A170)*((Data!$B$2:$B$53 + Settings!$B$4/24) &gt; A170))&gt;0)</f>
        <v>0</v>
      </c>
      <c r="F170">
        <f>--(SUMPRODUCT((Data!$C$2:$C$53="TT2")*((Data!$A$2:$A$53 - Settings!$B$4/24) &lt;= A170)*((Data!$B$2:$B$53 + Settings!$B$4/24) &gt; A170))&gt;0)</f>
        <v>1</v>
      </c>
    </row>
    <row r="171" spans="1:6" ht="15.6" x14ac:dyDescent="0.3">
      <c r="A171" s="1">
        <v>45939.042013888888</v>
      </c>
      <c r="B171">
        <f>--(SUMPRODUCT((Data!$C$2:$C$53="K12C")*((Data!$A$2:$A$53 - Settings!$B$4/24) &lt;= A171)*((Data!$B$2:$B$53 + Settings!$B$4/24) &gt; A171))&gt;0)</f>
        <v>0</v>
      </c>
      <c r="C171">
        <f>--(SUMPRODUCT((Data!$C$2:$C$53="K12A")*((Data!$A$2:$A$53 - Settings!$B$4/24) &lt;= A171)*((Data!$B$2:$B$53 + Settings!$B$4/24) &gt; A171))&gt;0)</f>
        <v>0</v>
      </c>
      <c r="D171">
        <f>--(SUMPRODUCT((Data!$C$2:$C$53="K12")*((Data!$A$2:$A$53 - Settings!$B$4/24) &lt;= A171)*((Data!$B$2:$B$53 + Settings!$B$4/24) &gt; A171))&gt;0)</f>
        <v>0</v>
      </c>
      <c r="E171">
        <f>--(SUMPRODUCT((Data!$C$2:$C$53="K12B")*((Data!$A$2:$A$53 - Settings!$B$4/24) &lt;= A171)*((Data!$B$2:$B$53 + Settings!$B$4/24) &gt; A171))&gt;0)</f>
        <v>0</v>
      </c>
      <c r="F171">
        <f>--(SUMPRODUCT((Data!$C$2:$C$53="TT2")*((Data!$A$2:$A$53 - Settings!$B$4/24) &lt;= A171)*((Data!$B$2:$B$53 + Settings!$B$4/24) &gt; A171))&gt;0)</f>
        <v>1</v>
      </c>
    </row>
    <row r="172" spans="1:6" ht="15.6" x14ac:dyDescent="0.3">
      <c r="A172" s="1">
        <v>45939.083680555559</v>
      </c>
      <c r="B172">
        <f>--(SUMPRODUCT((Data!$C$2:$C$53="K12C")*((Data!$A$2:$A$53 - Settings!$B$4/24) &lt;= A172)*((Data!$B$2:$B$53 + Settings!$B$4/24) &gt; A172))&gt;0)</f>
        <v>0</v>
      </c>
      <c r="C172">
        <f>--(SUMPRODUCT((Data!$C$2:$C$53="K12A")*((Data!$A$2:$A$53 - Settings!$B$4/24) &lt;= A172)*((Data!$B$2:$B$53 + Settings!$B$4/24) &gt; A172))&gt;0)</f>
        <v>0</v>
      </c>
      <c r="D172">
        <f>--(SUMPRODUCT((Data!$C$2:$C$53="K12")*((Data!$A$2:$A$53 - Settings!$B$4/24) &lt;= A172)*((Data!$B$2:$B$53 + Settings!$B$4/24) &gt; A172))&gt;0)</f>
        <v>1</v>
      </c>
      <c r="E172">
        <f>--(SUMPRODUCT((Data!$C$2:$C$53="K12B")*((Data!$A$2:$A$53 - Settings!$B$4/24) &lt;= A172)*((Data!$B$2:$B$53 + Settings!$B$4/24) &gt; A172))&gt;0)</f>
        <v>0</v>
      </c>
      <c r="F172">
        <f>--(SUMPRODUCT((Data!$C$2:$C$53="TT2")*((Data!$A$2:$A$53 - Settings!$B$4/24) &lt;= A172)*((Data!$B$2:$B$53 + Settings!$B$4/24) &gt; A172))&gt;0)</f>
        <v>1</v>
      </c>
    </row>
    <row r="173" spans="1:6" ht="15.6" x14ac:dyDescent="0.3">
      <c r="A173" s="1">
        <v>45939.125347222223</v>
      </c>
      <c r="B173">
        <f>--(SUMPRODUCT((Data!$C$2:$C$53="K12C")*((Data!$A$2:$A$53 - Settings!$B$4/24) &lt;= A173)*((Data!$B$2:$B$53 + Settings!$B$4/24) &gt; A173))&gt;0)</f>
        <v>0</v>
      </c>
      <c r="C173">
        <f>--(SUMPRODUCT((Data!$C$2:$C$53="K12A")*((Data!$A$2:$A$53 - Settings!$B$4/24) &lt;= A173)*((Data!$B$2:$B$53 + Settings!$B$4/24) &gt; A173))&gt;0)</f>
        <v>0</v>
      </c>
      <c r="D173">
        <f>--(SUMPRODUCT((Data!$C$2:$C$53="K12")*((Data!$A$2:$A$53 - Settings!$B$4/24) &lt;= A173)*((Data!$B$2:$B$53 + Settings!$B$4/24) &gt; A173))&gt;0)</f>
        <v>1</v>
      </c>
      <c r="E173">
        <f>--(SUMPRODUCT((Data!$C$2:$C$53="K12B")*((Data!$A$2:$A$53 - Settings!$B$4/24) &lt;= A173)*((Data!$B$2:$B$53 + Settings!$B$4/24) &gt; A173))&gt;0)</f>
        <v>0</v>
      </c>
      <c r="F173">
        <f>--(SUMPRODUCT((Data!$C$2:$C$53="TT2")*((Data!$A$2:$A$53 - Settings!$B$4/24) &lt;= A173)*((Data!$B$2:$B$53 + Settings!$B$4/24) &gt; A173))&gt;0)</f>
        <v>1</v>
      </c>
    </row>
    <row r="174" spans="1:6" ht="15.6" x14ac:dyDescent="0.3">
      <c r="A174" s="1">
        <v>45939.167013888888</v>
      </c>
      <c r="B174">
        <f>--(SUMPRODUCT((Data!$C$2:$C$53="K12C")*((Data!$A$2:$A$53 - Settings!$B$4/24) &lt;= A174)*((Data!$B$2:$B$53 + Settings!$B$4/24) &gt; A174))&gt;0)</f>
        <v>0</v>
      </c>
      <c r="C174">
        <f>--(SUMPRODUCT((Data!$C$2:$C$53="K12A")*((Data!$A$2:$A$53 - Settings!$B$4/24) &lt;= A174)*((Data!$B$2:$B$53 + Settings!$B$4/24) &gt; A174))&gt;0)</f>
        <v>0</v>
      </c>
      <c r="D174">
        <f>--(SUMPRODUCT((Data!$C$2:$C$53="K12")*((Data!$A$2:$A$53 - Settings!$B$4/24) &lt;= A174)*((Data!$B$2:$B$53 + Settings!$B$4/24) &gt; A174))&gt;0)</f>
        <v>1</v>
      </c>
      <c r="E174">
        <f>--(SUMPRODUCT((Data!$C$2:$C$53="K12B")*((Data!$A$2:$A$53 - Settings!$B$4/24) &lt;= A174)*((Data!$B$2:$B$53 + Settings!$B$4/24) &gt; A174))&gt;0)</f>
        <v>0</v>
      </c>
      <c r="F174">
        <f>--(SUMPRODUCT((Data!$C$2:$C$53="TT2")*((Data!$A$2:$A$53 - Settings!$B$4/24) &lt;= A174)*((Data!$B$2:$B$53 + Settings!$B$4/24) &gt; A174))&gt;0)</f>
        <v>1</v>
      </c>
    </row>
    <row r="175" spans="1:6" ht="15.6" x14ac:dyDescent="0.3">
      <c r="A175" s="1">
        <v>45939.208680555559</v>
      </c>
      <c r="B175">
        <f>--(SUMPRODUCT((Data!$C$2:$C$53="K12C")*((Data!$A$2:$A$53 - Settings!$B$4/24) &lt;= A175)*((Data!$B$2:$B$53 + Settings!$B$4/24) &gt; A175))&gt;0)</f>
        <v>0</v>
      </c>
      <c r="C175">
        <f>--(SUMPRODUCT((Data!$C$2:$C$53="K12A")*((Data!$A$2:$A$53 - Settings!$B$4/24) &lt;= A175)*((Data!$B$2:$B$53 + Settings!$B$4/24) &gt; A175))&gt;0)</f>
        <v>0</v>
      </c>
      <c r="D175">
        <f>--(SUMPRODUCT((Data!$C$2:$C$53="K12")*((Data!$A$2:$A$53 - Settings!$B$4/24) &lt;= A175)*((Data!$B$2:$B$53 + Settings!$B$4/24) &gt; A175))&gt;0)</f>
        <v>1</v>
      </c>
      <c r="E175">
        <f>--(SUMPRODUCT((Data!$C$2:$C$53="K12B")*((Data!$A$2:$A$53 - Settings!$B$4/24) &lt;= A175)*((Data!$B$2:$B$53 + Settings!$B$4/24) &gt; A175))&gt;0)</f>
        <v>0</v>
      </c>
      <c r="F175">
        <f>--(SUMPRODUCT((Data!$C$2:$C$53="TT2")*((Data!$A$2:$A$53 - Settings!$B$4/24) &lt;= A175)*((Data!$B$2:$B$53 + Settings!$B$4/24) &gt; A175))&gt;0)</f>
        <v>1</v>
      </c>
    </row>
    <row r="176" spans="1:6" ht="15.6" x14ac:dyDescent="0.3">
      <c r="A176" s="1">
        <v>45939.250347222223</v>
      </c>
      <c r="B176">
        <f>--(SUMPRODUCT((Data!$C$2:$C$53="K12C")*((Data!$A$2:$A$53 - Settings!$B$4/24) &lt;= A176)*((Data!$B$2:$B$53 + Settings!$B$4/24) &gt; A176))&gt;0)</f>
        <v>0</v>
      </c>
      <c r="C176">
        <f>--(SUMPRODUCT((Data!$C$2:$C$53="K12A")*((Data!$A$2:$A$53 - Settings!$B$4/24) &lt;= A176)*((Data!$B$2:$B$53 + Settings!$B$4/24) &gt; A176))&gt;0)</f>
        <v>0</v>
      </c>
      <c r="D176">
        <f>--(SUMPRODUCT((Data!$C$2:$C$53="K12")*((Data!$A$2:$A$53 - Settings!$B$4/24) &lt;= A176)*((Data!$B$2:$B$53 + Settings!$B$4/24) &gt; A176))&gt;0)</f>
        <v>1</v>
      </c>
      <c r="E176">
        <f>--(SUMPRODUCT((Data!$C$2:$C$53="K12B")*((Data!$A$2:$A$53 - Settings!$B$4/24) &lt;= A176)*((Data!$B$2:$B$53 + Settings!$B$4/24) &gt; A176))&gt;0)</f>
        <v>0</v>
      </c>
      <c r="F176">
        <f>--(SUMPRODUCT((Data!$C$2:$C$53="TT2")*((Data!$A$2:$A$53 - Settings!$B$4/24) &lt;= A176)*((Data!$B$2:$B$53 + Settings!$B$4/24) &gt; A176))&gt;0)</f>
        <v>1</v>
      </c>
    </row>
    <row r="177" spans="1:6" ht="15.6" x14ac:dyDescent="0.3">
      <c r="A177" s="1">
        <v>45939.292013888888</v>
      </c>
      <c r="B177">
        <f>--(SUMPRODUCT((Data!$C$2:$C$53="K12C")*((Data!$A$2:$A$53 - Settings!$B$4/24) &lt;= A177)*((Data!$B$2:$B$53 + Settings!$B$4/24) &gt; A177))&gt;0)</f>
        <v>0</v>
      </c>
      <c r="C177">
        <f>--(SUMPRODUCT((Data!$C$2:$C$53="K12A")*((Data!$A$2:$A$53 - Settings!$B$4/24) &lt;= A177)*((Data!$B$2:$B$53 + Settings!$B$4/24) &gt; A177))&gt;0)</f>
        <v>0</v>
      </c>
      <c r="D177">
        <f>--(SUMPRODUCT((Data!$C$2:$C$53="K12")*((Data!$A$2:$A$53 - Settings!$B$4/24) &lt;= A177)*((Data!$B$2:$B$53 + Settings!$B$4/24) &gt; A177))&gt;0)</f>
        <v>1</v>
      </c>
      <c r="E177">
        <f>--(SUMPRODUCT((Data!$C$2:$C$53="K12B")*((Data!$A$2:$A$53 - Settings!$B$4/24) &lt;= A177)*((Data!$B$2:$B$53 + Settings!$B$4/24) &gt; A177))&gt;0)</f>
        <v>0</v>
      </c>
      <c r="F177">
        <f>--(SUMPRODUCT((Data!$C$2:$C$53="TT2")*((Data!$A$2:$A$53 - Settings!$B$4/24) &lt;= A177)*((Data!$B$2:$B$53 + Settings!$B$4/24) &gt; A177))&gt;0)</f>
        <v>1</v>
      </c>
    </row>
    <row r="178" spans="1:6" ht="15.6" x14ac:dyDescent="0.3">
      <c r="A178" s="1">
        <v>45939.333680555559</v>
      </c>
      <c r="B178">
        <f>--(SUMPRODUCT((Data!$C$2:$C$53="K12C")*((Data!$A$2:$A$53 - Settings!$B$4/24) &lt;= A178)*((Data!$B$2:$B$53 + Settings!$B$4/24) &gt; A178))&gt;0)</f>
        <v>0</v>
      </c>
      <c r="C178">
        <f>--(SUMPRODUCT((Data!$C$2:$C$53="K12A")*((Data!$A$2:$A$53 - Settings!$B$4/24) &lt;= A178)*((Data!$B$2:$B$53 + Settings!$B$4/24) &gt; A178))&gt;0)</f>
        <v>0</v>
      </c>
      <c r="D178">
        <f>--(SUMPRODUCT((Data!$C$2:$C$53="K12")*((Data!$A$2:$A$53 - Settings!$B$4/24) &lt;= A178)*((Data!$B$2:$B$53 + Settings!$B$4/24) &gt; A178))&gt;0)</f>
        <v>1</v>
      </c>
      <c r="E178">
        <f>--(SUMPRODUCT((Data!$C$2:$C$53="K12B")*((Data!$A$2:$A$53 - Settings!$B$4/24) &lt;= A178)*((Data!$B$2:$B$53 + Settings!$B$4/24) &gt; A178))&gt;0)</f>
        <v>0</v>
      </c>
      <c r="F178">
        <f>--(SUMPRODUCT((Data!$C$2:$C$53="TT2")*((Data!$A$2:$A$53 - Settings!$B$4/24) &lt;= A178)*((Data!$B$2:$B$53 + Settings!$B$4/24) &gt; A178))&gt;0)</f>
        <v>1</v>
      </c>
    </row>
    <row r="179" spans="1:6" ht="15.6" x14ac:dyDescent="0.3">
      <c r="A179" s="1">
        <v>45939.375347222223</v>
      </c>
      <c r="B179">
        <f>--(SUMPRODUCT((Data!$C$2:$C$53="K12C")*((Data!$A$2:$A$53 - Settings!$B$4/24) &lt;= A179)*((Data!$B$2:$B$53 + Settings!$B$4/24) &gt; A179))&gt;0)</f>
        <v>0</v>
      </c>
      <c r="C179">
        <f>--(SUMPRODUCT((Data!$C$2:$C$53="K12A")*((Data!$A$2:$A$53 - Settings!$B$4/24) &lt;= A179)*((Data!$B$2:$B$53 + Settings!$B$4/24) &gt; A179))&gt;0)</f>
        <v>0</v>
      </c>
      <c r="D179">
        <f>--(SUMPRODUCT((Data!$C$2:$C$53="K12")*((Data!$A$2:$A$53 - Settings!$B$4/24) &lt;= A179)*((Data!$B$2:$B$53 + Settings!$B$4/24) &gt; A179))&gt;0)</f>
        <v>1</v>
      </c>
      <c r="E179">
        <f>--(SUMPRODUCT((Data!$C$2:$C$53="K12B")*((Data!$A$2:$A$53 - Settings!$B$4/24) &lt;= A179)*((Data!$B$2:$B$53 + Settings!$B$4/24) &gt; A179))&gt;0)</f>
        <v>0</v>
      </c>
      <c r="F179">
        <f>--(SUMPRODUCT((Data!$C$2:$C$53="TT2")*((Data!$A$2:$A$53 - Settings!$B$4/24) &lt;= A179)*((Data!$B$2:$B$53 + Settings!$B$4/24) &gt; A179))&gt;0)</f>
        <v>1</v>
      </c>
    </row>
    <row r="180" spans="1:6" ht="15.6" x14ac:dyDescent="0.3">
      <c r="A180" s="1">
        <v>45939.417013888888</v>
      </c>
      <c r="B180">
        <f>--(SUMPRODUCT((Data!$C$2:$C$53="K12C")*((Data!$A$2:$A$53 - Settings!$B$4/24) &lt;= A180)*((Data!$B$2:$B$53 + Settings!$B$4/24) &gt; A180))&gt;0)</f>
        <v>0</v>
      </c>
      <c r="C180">
        <f>--(SUMPRODUCT((Data!$C$2:$C$53="K12A")*((Data!$A$2:$A$53 - Settings!$B$4/24) &lt;= A180)*((Data!$B$2:$B$53 + Settings!$B$4/24) &gt; A180))&gt;0)</f>
        <v>0</v>
      </c>
      <c r="D180">
        <f>--(SUMPRODUCT((Data!$C$2:$C$53="K12")*((Data!$A$2:$A$53 - Settings!$B$4/24) &lt;= A180)*((Data!$B$2:$B$53 + Settings!$B$4/24) &gt; A180))&gt;0)</f>
        <v>1</v>
      </c>
      <c r="E180">
        <f>--(SUMPRODUCT((Data!$C$2:$C$53="K12B")*((Data!$A$2:$A$53 - Settings!$B$4/24) &lt;= A180)*((Data!$B$2:$B$53 + Settings!$B$4/24) &gt; A180))&gt;0)</f>
        <v>0</v>
      </c>
      <c r="F180">
        <f>--(SUMPRODUCT((Data!$C$2:$C$53="TT2")*((Data!$A$2:$A$53 - Settings!$B$4/24) &lt;= A180)*((Data!$B$2:$B$53 + Settings!$B$4/24) &gt; A180))&gt;0)</f>
        <v>1</v>
      </c>
    </row>
    <row r="181" spans="1:6" ht="15.6" x14ac:dyDescent="0.3">
      <c r="A181" s="1">
        <v>45939.458680555559</v>
      </c>
      <c r="B181">
        <f>--(SUMPRODUCT((Data!$C$2:$C$53="K12C")*((Data!$A$2:$A$53 - Settings!$B$4/24) &lt;= A181)*((Data!$B$2:$B$53 + Settings!$B$4/24) &gt; A181))&gt;0)</f>
        <v>0</v>
      </c>
      <c r="C181">
        <f>--(SUMPRODUCT((Data!$C$2:$C$53="K12A")*((Data!$A$2:$A$53 - Settings!$B$4/24) &lt;= A181)*((Data!$B$2:$B$53 + Settings!$B$4/24) &gt; A181))&gt;0)</f>
        <v>0</v>
      </c>
      <c r="D181">
        <f>--(SUMPRODUCT((Data!$C$2:$C$53="K12")*((Data!$A$2:$A$53 - Settings!$B$4/24) &lt;= A181)*((Data!$B$2:$B$53 + Settings!$B$4/24) &gt; A181))&gt;0)</f>
        <v>1</v>
      </c>
      <c r="E181">
        <f>--(SUMPRODUCT((Data!$C$2:$C$53="K12B")*((Data!$A$2:$A$53 - Settings!$B$4/24) &lt;= A181)*((Data!$B$2:$B$53 + Settings!$B$4/24) &gt; A181))&gt;0)</f>
        <v>0</v>
      </c>
      <c r="F181">
        <f>--(SUMPRODUCT((Data!$C$2:$C$53="TT2")*((Data!$A$2:$A$53 - Settings!$B$4/24) &lt;= A181)*((Data!$B$2:$B$53 + Settings!$B$4/24) &gt; A181))&gt;0)</f>
        <v>1</v>
      </c>
    </row>
    <row r="182" spans="1:6" ht="15.6" x14ac:dyDescent="0.3">
      <c r="A182" s="1">
        <v>45939.500347222223</v>
      </c>
      <c r="B182">
        <f>--(SUMPRODUCT((Data!$C$2:$C$53="K12C")*((Data!$A$2:$A$53 - Settings!$B$4/24) &lt;= A182)*((Data!$B$2:$B$53 + Settings!$B$4/24) &gt; A182))&gt;0)</f>
        <v>0</v>
      </c>
      <c r="C182">
        <f>--(SUMPRODUCT((Data!$C$2:$C$53="K12A")*((Data!$A$2:$A$53 - Settings!$B$4/24) &lt;= A182)*((Data!$B$2:$B$53 + Settings!$B$4/24) &gt; A182))&gt;0)</f>
        <v>0</v>
      </c>
      <c r="D182">
        <f>--(SUMPRODUCT((Data!$C$2:$C$53="K12")*((Data!$A$2:$A$53 - Settings!$B$4/24) &lt;= A182)*((Data!$B$2:$B$53 + Settings!$B$4/24) &gt; A182))&gt;0)</f>
        <v>1</v>
      </c>
      <c r="E182">
        <f>--(SUMPRODUCT((Data!$C$2:$C$53="K12B")*((Data!$A$2:$A$53 - Settings!$B$4/24) &lt;= A182)*((Data!$B$2:$B$53 + Settings!$B$4/24) &gt; A182))&gt;0)</f>
        <v>0</v>
      </c>
      <c r="F182">
        <f>--(SUMPRODUCT((Data!$C$2:$C$53="TT2")*((Data!$A$2:$A$53 - Settings!$B$4/24) &lt;= A182)*((Data!$B$2:$B$53 + Settings!$B$4/24) &gt; A182))&gt;0)</f>
        <v>1</v>
      </c>
    </row>
    <row r="183" spans="1:6" ht="15.6" x14ac:dyDescent="0.3">
      <c r="A183" s="1">
        <v>45939.542013888888</v>
      </c>
      <c r="B183">
        <f>--(SUMPRODUCT((Data!$C$2:$C$53="K12C")*((Data!$A$2:$A$53 - Settings!$B$4/24) &lt;= A183)*((Data!$B$2:$B$53 + Settings!$B$4/24) &gt; A183))&gt;0)</f>
        <v>0</v>
      </c>
      <c r="C183">
        <f>--(SUMPRODUCT((Data!$C$2:$C$53="K12A")*((Data!$A$2:$A$53 - Settings!$B$4/24) &lt;= A183)*((Data!$B$2:$B$53 + Settings!$B$4/24) &gt; A183))&gt;0)</f>
        <v>0</v>
      </c>
      <c r="D183">
        <f>--(SUMPRODUCT((Data!$C$2:$C$53="K12")*((Data!$A$2:$A$53 - Settings!$B$4/24) &lt;= A183)*((Data!$B$2:$B$53 + Settings!$B$4/24) &gt; A183))&gt;0)</f>
        <v>1</v>
      </c>
      <c r="E183">
        <f>--(SUMPRODUCT((Data!$C$2:$C$53="K12B")*((Data!$A$2:$A$53 - Settings!$B$4/24) &lt;= A183)*((Data!$B$2:$B$53 + Settings!$B$4/24) &gt; A183))&gt;0)</f>
        <v>0</v>
      </c>
      <c r="F183">
        <f>--(SUMPRODUCT((Data!$C$2:$C$53="TT2")*((Data!$A$2:$A$53 - Settings!$B$4/24) &lt;= A183)*((Data!$B$2:$B$53 + Settings!$B$4/24) &gt; A183))&gt;0)</f>
        <v>1</v>
      </c>
    </row>
    <row r="184" spans="1:6" ht="15.6" x14ac:dyDescent="0.3">
      <c r="A184" s="1">
        <v>45939.583680555559</v>
      </c>
      <c r="B184">
        <f>--(SUMPRODUCT((Data!$C$2:$C$53="K12C")*((Data!$A$2:$A$53 - Settings!$B$4/24) &lt;= A184)*((Data!$B$2:$B$53 + Settings!$B$4/24) &gt; A184))&gt;0)</f>
        <v>0</v>
      </c>
      <c r="C184">
        <f>--(SUMPRODUCT((Data!$C$2:$C$53="K12A")*((Data!$A$2:$A$53 - Settings!$B$4/24) &lt;= A184)*((Data!$B$2:$B$53 + Settings!$B$4/24) &gt; A184))&gt;0)</f>
        <v>0</v>
      </c>
      <c r="D184">
        <f>--(SUMPRODUCT((Data!$C$2:$C$53="K12")*((Data!$A$2:$A$53 - Settings!$B$4/24) &lt;= A184)*((Data!$B$2:$B$53 + Settings!$B$4/24) &gt; A184))&gt;0)</f>
        <v>1</v>
      </c>
      <c r="E184">
        <f>--(SUMPRODUCT((Data!$C$2:$C$53="K12B")*((Data!$A$2:$A$53 - Settings!$B$4/24) &lt;= A184)*((Data!$B$2:$B$53 + Settings!$B$4/24) &gt; A184))&gt;0)</f>
        <v>0</v>
      </c>
      <c r="F184">
        <f>--(SUMPRODUCT((Data!$C$2:$C$53="TT2")*((Data!$A$2:$A$53 - Settings!$B$4/24) &lt;= A184)*((Data!$B$2:$B$53 + Settings!$B$4/24) &gt; A184))&gt;0)</f>
        <v>1</v>
      </c>
    </row>
    <row r="185" spans="1:6" ht="15.6" x14ac:dyDescent="0.3">
      <c r="A185" s="1">
        <v>45939.625347222223</v>
      </c>
      <c r="B185">
        <f>--(SUMPRODUCT((Data!$C$2:$C$53="K12C")*((Data!$A$2:$A$53 - Settings!$B$4/24) &lt;= A185)*((Data!$B$2:$B$53 + Settings!$B$4/24) &gt; A185))&gt;0)</f>
        <v>0</v>
      </c>
      <c r="C185">
        <f>--(SUMPRODUCT((Data!$C$2:$C$53="K12A")*((Data!$A$2:$A$53 - Settings!$B$4/24) &lt;= A185)*((Data!$B$2:$B$53 + Settings!$B$4/24) &gt; A185))&gt;0)</f>
        <v>0</v>
      </c>
      <c r="D185">
        <f>--(SUMPRODUCT((Data!$C$2:$C$53="K12")*((Data!$A$2:$A$53 - Settings!$B$4/24) &lt;= A185)*((Data!$B$2:$B$53 + Settings!$B$4/24) &gt; A185))&gt;0)</f>
        <v>1</v>
      </c>
      <c r="E185">
        <f>--(SUMPRODUCT((Data!$C$2:$C$53="K12B")*((Data!$A$2:$A$53 - Settings!$B$4/24) &lt;= A185)*((Data!$B$2:$B$53 + Settings!$B$4/24) &gt; A185))&gt;0)</f>
        <v>0</v>
      </c>
      <c r="F185">
        <f>--(SUMPRODUCT((Data!$C$2:$C$53="TT2")*((Data!$A$2:$A$53 - Settings!$B$4/24) &lt;= A185)*((Data!$B$2:$B$53 + Settings!$B$4/24) &gt; A185))&gt;0)</f>
        <v>1</v>
      </c>
    </row>
    <row r="186" spans="1:6" ht="15.6" x14ac:dyDescent="0.3">
      <c r="A186" s="1">
        <v>45939.667013888888</v>
      </c>
      <c r="B186">
        <f>--(SUMPRODUCT((Data!$C$2:$C$53="K12C")*((Data!$A$2:$A$53 - Settings!$B$4/24) &lt;= A186)*((Data!$B$2:$B$53 + Settings!$B$4/24) &gt; A186))&gt;0)</f>
        <v>0</v>
      </c>
      <c r="C186">
        <f>--(SUMPRODUCT((Data!$C$2:$C$53="K12A")*((Data!$A$2:$A$53 - Settings!$B$4/24) &lt;= A186)*((Data!$B$2:$B$53 + Settings!$B$4/24) &gt; A186))&gt;0)</f>
        <v>0</v>
      </c>
      <c r="D186">
        <f>--(SUMPRODUCT((Data!$C$2:$C$53="K12")*((Data!$A$2:$A$53 - Settings!$B$4/24) &lt;= A186)*((Data!$B$2:$B$53 + Settings!$B$4/24) &gt; A186))&gt;0)</f>
        <v>1</v>
      </c>
      <c r="E186">
        <f>--(SUMPRODUCT((Data!$C$2:$C$53="K12B")*((Data!$A$2:$A$53 - Settings!$B$4/24) &lt;= A186)*((Data!$B$2:$B$53 + Settings!$B$4/24) &gt; A186))&gt;0)</f>
        <v>0</v>
      </c>
      <c r="F186">
        <f>--(SUMPRODUCT((Data!$C$2:$C$53="TT2")*((Data!$A$2:$A$53 - Settings!$B$4/24) &lt;= A186)*((Data!$B$2:$B$53 + Settings!$B$4/24) &gt; A186))&gt;0)</f>
        <v>1</v>
      </c>
    </row>
    <row r="187" spans="1:6" ht="15.6" x14ac:dyDescent="0.3">
      <c r="A187" s="1">
        <v>45939.708680555559</v>
      </c>
      <c r="B187">
        <f>--(SUMPRODUCT((Data!$C$2:$C$53="K12C")*((Data!$A$2:$A$53 - Settings!$B$4/24) &lt;= A187)*((Data!$B$2:$B$53 + Settings!$B$4/24) &gt; A187))&gt;0)</f>
        <v>0</v>
      </c>
      <c r="C187">
        <f>--(SUMPRODUCT((Data!$C$2:$C$53="K12A")*((Data!$A$2:$A$53 - Settings!$B$4/24) &lt;= A187)*((Data!$B$2:$B$53 + Settings!$B$4/24) &gt; A187))&gt;0)</f>
        <v>0</v>
      </c>
      <c r="D187">
        <f>--(SUMPRODUCT((Data!$C$2:$C$53="K12")*((Data!$A$2:$A$53 - Settings!$B$4/24) &lt;= A187)*((Data!$B$2:$B$53 + Settings!$B$4/24) &gt; A187))&gt;0)</f>
        <v>0</v>
      </c>
      <c r="E187">
        <f>--(SUMPRODUCT((Data!$C$2:$C$53="K12B")*((Data!$A$2:$A$53 - Settings!$B$4/24) &lt;= A187)*((Data!$B$2:$B$53 + Settings!$B$4/24) &gt; A187))&gt;0)</f>
        <v>0</v>
      </c>
      <c r="F187">
        <f>--(SUMPRODUCT((Data!$C$2:$C$53="TT2")*((Data!$A$2:$A$53 - Settings!$B$4/24) &lt;= A187)*((Data!$B$2:$B$53 + Settings!$B$4/24) &gt; A187))&gt;0)</f>
        <v>0</v>
      </c>
    </row>
    <row r="188" spans="1:6" ht="15.6" x14ac:dyDescent="0.3">
      <c r="A188" s="1">
        <v>45939.750347222223</v>
      </c>
      <c r="B188">
        <f>--(SUMPRODUCT((Data!$C$2:$C$53="K12C")*((Data!$A$2:$A$53 - Settings!$B$4/24) &lt;= A188)*((Data!$B$2:$B$53 + Settings!$B$4/24) &gt; A188))&gt;0)</f>
        <v>0</v>
      </c>
      <c r="C188">
        <f>--(SUMPRODUCT((Data!$C$2:$C$53="K12A")*((Data!$A$2:$A$53 - Settings!$B$4/24) &lt;= A188)*((Data!$B$2:$B$53 + Settings!$B$4/24) &gt; A188))&gt;0)</f>
        <v>0</v>
      </c>
      <c r="D188">
        <f>--(SUMPRODUCT((Data!$C$2:$C$53="K12")*((Data!$A$2:$A$53 - Settings!$B$4/24) &lt;= A188)*((Data!$B$2:$B$53 + Settings!$B$4/24) &gt; A188))&gt;0)</f>
        <v>0</v>
      </c>
      <c r="E188">
        <f>--(SUMPRODUCT((Data!$C$2:$C$53="K12B")*((Data!$A$2:$A$53 - Settings!$B$4/24) &lt;= A188)*((Data!$B$2:$B$53 + Settings!$B$4/24) &gt; A188))&gt;0)</f>
        <v>0</v>
      </c>
      <c r="F188">
        <f>--(SUMPRODUCT((Data!$C$2:$C$53="TT2")*((Data!$A$2:$A$53 - Settings!$B$4/24) &lt;= A188)*((Data!$B$2:$B$53 + Settings!$B$4/24) &gt; A188))&gt;0)</f>
        <v>0</v>
      </c>
    </row>
    <row r="189" spans="1:6" ht="15.6" x14ac:dyDescent="0.3">
      <c r="A189" s="1">
        <v>45939.792013888888</v>
      </c>
      <c r="B189">
        <f>--(SUMPRODUCT((Data!$C$2:$C$53="K12C")*((Data!$A$2:$A$53 - Settings!$B$4/24) &lt;= A189)*((Data!$B$2:$B$53 + Settings!$B$4/24) &gt; A189))&gt;0)</f>
        <v>0</v>
      </c>
      <c r="C189">
        <f>--(SUMPRODUCT((Data!$C$2:$C$53="K12A")*((Data!$A$2:$A$53 - Settings!$B$4/24) &lt;= A189)*((Data!$B$2:$B$53 + Settings!$B$4/24) &gt; A189))&gt;0)</f>
        <v>0</v>
      </c>
      <c r="D189">
        <f>--(SUMPRODUCT((Data!$C$2:$C$53="K12")*((Data!$A$2:$A$53 - Settings!$B$4/24) &lt;= A189)*((Data!$B$2:$B$53 + Settings!$B$4/24) &gt; A189))&gt;0)</f>
        <v>0</v>
      </c>
      <c r="E189">
        <f>--(SUMPRODUCT((Data!$C$2:$C$53="K12B")*((Data!$A$2:$A$53 - Settings!$B$4/24) &lt;= A189)*((Data!$B$2:$B$53 + Settings!$B$4/24) &gt; A189))&gt;0)</f>
        <v>0</v>
      </c>
      <c r="F189">
        <f>--(SUMPRODUCT((Data!$C$2:$C$53="TT2")*((Data!$A$2:$A$53 - Settings!$B$4/24) &lt;= A189)*((Data!$B$2:$B$53 + Settings!$B$4/24) &gt; A189))&gt;0)</f>
        <v>0</v>
      </c>
    </row>
    <row r="190" spans="1:6" ht="15.6" x14ac:dyDescent="0.3">
      <c r="A190" s="1">
        <v>45939.833680555559</v>
      </c>
      <c r="B190">
        <f>--(SUMPRODUCT((Data!$C$2:$C$53="K12C")*((Data!$A$2:$A$53 - Settings!$B$4/24) &lt;= A190)*((Data!$B$2:$B$53 + Settings!$B$4/24) &gt; A190))&gt;0)</f>
        <v>0</v>
      </c>
      <c r="C190">
        <f>--(SUMPRODUCT((Data!$C$2:$C$53="K12A")*((Data!$A$2:$A$53 - Settings!$B$4/24) &lt;= A190)*((Data!$B$2:$B$53 + Settings!$B$4/24) &gt; A190))&gt;0)</f>
        <v>0</v>
      </c>
      <c r="D190">
        <f>--(SUMPRODUCT((Data!$C$2:$C$53="K12")*((Data!$A$2:$A$53 - Settings!$B$4/24) &lt;= A190)*((Data!$B$2:$B$53 + Settings!$B$4/24) &gt; A190))&gt;0)</f>
        <v>0</v>
      </c>
      <c r="E190">
        <f>--(SUMPRODUCT((Data!$C$2:$C$53="K12B")*((Data!$A$2:$A$53 - Settings!$B$4/24) &lt;= A190)*((Data!$B$2:$B$53 + Settings!$B$4/24) &gt; A190))&gt;0)</f>
        <v>0</v>
      </c>
      <c r="F190">
        <f>--(SUMPRODUCT((Data!$C$2:$C$53="TT2")*((Data!$A$2:$A$53 - Settings!$B$4/24) &lt;= A190)*((Data!$B$2:$B$53 + Settings!$B$4/24) &gt; A190))&gt;0)</f>
        <v>0</v>
      </c>
    </row>
    <row r="191" spans="1:6" ht="15.6" x14ac:dyDescent="0.3">
      <c r="A191" s="1">
        <v>45939.875347222223</v>
      </c>
      <c r="B191">
        <f>--(SUMPRODUCT((Data!$C$2:$C$53="K12C")*((Data!$A$2:$A$53 - Settings!$B$4/24) &lt;= A191)*((Data!$B$2:$B$53 + Settings!$B$4/24) &gt; A191))&gt;0)</f>
        <v>0</v>
      </c>
      <c r="C191">
        <f>--(SUMPRODUCT((Data!$C$2:$C$53="K12A")*((Data!$A$2:$A$53 - Settings!$B$4/24) &lt;= A191)*((Data!$B$2:$B$53 + Settings!$B$4/24) &gt; A191))&gt;0)</f>
        <v>0</v>
      </c>
      <c r="D191">
        <f>--(SUMPRODUCT((Data!$C$2:$C$53="K12")*((Data!$A$2:$A$53 - Settings!$B$4/24) &lt;= A191)*((Data!$B$2:$B$53 + Settings!$B$4/24) &gt; A191))&gt;0)</f>
        <v>0</v>
      </c>
      <c r="E191">
        <f>--(SUMPRODUCT((Data!$C$2:$C$53="K12B")*((Data!$A$2:$A$53 - Settings!$B$4/24) &lt;= A191)*((Data!$B$2:$B$53 + Settings!$B$4/24) &gt; A191))&gt;0)</f>
        <v>0</v>
      </c>
      <c r="F191">
        <f>--(SUMPRODUCT((Data!$C$2:$C$53="TT2")*((Data!$A$2:$A$53 - Settings!$B$4/24) &lt;= A191)*((Data!$B$2:$B$53 + Settings!$B$4/24) &gt; A191))&gt;0)</f>
        <v>0</v>
      </c>
    </row>
    <row r="192" spans="1:6" ht="15.6" x14ac:dyDescent="0.3">
      <c r="A192" s="1">
        <v>45939.917013888888</v>
      </c>
      <c r="B192">
        <f>--(SUMPRODUCT((Data!$C$2:$C$53="K12C")*((Data!$A$2:$A$53 - Settings!$B$4/24) &lt;= A192)*((Data!$B$2:$B$53 + Settings!$B$4/24) &gt; A192))&gt;0)</f>
        <v>0</v>
      </c>
      <c r="C192">
        <f>--(SUMPRODUCT((Data!$C$2:$C$53="K12A")*((Data!$A$2:$A$53 - Settings!$B$4/24) &lt;= A192)*((Data!$B$2:$B$53 + Settings!$B$4/24) &gt; A192))&gt;0)</f>
        <v>0</v>
      </c>
      <c r="D192">
        <f>--(SUMPRODUCT((Data!$C$2:$C$53="K12")*((Data!$A$2:$A$53 - Settings!$B$4/24) &lt;= A192)*((Data!$B$2:$B$53 + Settings!$B$4/24) &gt; A192))&gt;0)</f>
        <v>0</v>
      </c>
      <c r="E192">
        <f>--(SUMPRODUCT((Data!$C$2:$C$53="K12B")*((Data!$A$2:$A$53 - Settings!$B$4/24) &lt;= A192)*((Data!$B$2:$B$53 + Settings!$B$4/24) &gt; A192))&gt;0)</f>
        <v>0</v>
      </c>
      <c r="F192">
        <f>--(SUMPRODUCT((Data!$C$2:$C$53="TT2")*((Data!$A$2:$A$53 - Settings!$B$4/24) &lt;= A192)*((Data!$B$2:$B$53 + Settings!$B$4/24) &gt; A192))&gt;0)</f>
        <v>0</v>
      </c>
    </row>
    <row r="193" spans="1:6" ht="15.6" x14ac:dyDescent="0.3">
      <c r="A193" s="1">
        <v>45939.958680555559</v>
      </c>
      <c r="B193">
        <f>--(SUMPRODUCT((Data!$C$2:$C$53="K12C")*((Data!$A$2:$A$53 - Settings!$B$4/24) &lt;= A193)*((Data!$B$2:$B$53 + Settings!$B$4/24) &gt; A193))&gt;0)</f>
        <v>0</v>
      </c>
      <c r="C193">
        <f>--(SUMPRODUCT((Data!$C$2:$C$53="K12A")*((Data!$A$2:$A$53 - Settings!$B$4/24) &lt;= A193)*((Data!$B$2:$B$53 + Settings!$B$4/24) &gt; A193))&gt;0)</f>
        <v>0</v>
      </c>
      <c r="D193">
        <f>--(SUMPRODUCT((Data!$C$2:$C$53="K12")*((Data!$A$2:$A$53 - Settings!$B$4/24) &lt;= A193)*((Data!$B$2:$B$53 + Settings!$B$4/24) &gt; A193))&gt;0)</f>
        <v>0</v>
      </c>
      <c r="E193">
        <f>--(SUMPRODUCT((Data!$C$2:$C$53="K12B")*((Data!$A$2:$A$53 - Settings!$B$4/24) &lt;= A193)*((Data!$B$2:$B$53 + Settings!$B$4/24) &gt; A193))&gt;0)</f>
        <v>0</v>
      </c>
      <c r="F193">
        <f>--(SUMPRODUCT((Data!$C$2:$C$53="TT2")*((Data!$A$2:$A$53 - Settings!$B$4/24) &lt;= A193)*((Data!$B$2:$B$53 + Settings!$B$4/24) &gt; A193))&gt;0)</f>
        <v>0</v>
      </c>
    </row>
    <row r="194" spans="1:6" ht="15.6" x14ac:dyDescent="0.3">
      <c r="A194" s="1">
        <v>45940.000347222223</v>
      </c>
      <c r="B194">
        <f>--(SUMPRODUCT((Data!$C$2:$C$53="K12C")*((Data!$A$2:$A$53 - Settings!$B$4/24) &lt;= A194)*((Data!$B$2:$B$53 + Settings!$B$4/24) &gt; A194))&gt;0)</f>
        <v>0</v>
      </c>
      <c r="C194">
        <f>--(SUMPRODUCT((Data!$C$2:$C$53="K12A")*((Data!$A$2:$A$53 - Settings!$B$4/24) &lt;= A194)*((Data!$B$2:$B$53 + Settings!$B$4/24) &gt; A194))&gt;0)</f>
        <v>0</v>
      </c>
      <c r="D194">
        <f>--(SUMPRODUCT((Data!$C$2:$C$53="K12")*((Data!$A$2:$A$53 - Settings!$B$4/24) &lt;= A194)*((Data!$B$2:$B$53 + Settings!$B$4/24) &gt; A194))&gt;0)</f>
        <v>0</v>
      </c>
      <c r="E194">
        <f>--(SUMPRODUCT((Data!$C$2:$C$53="K12B")*((Data!$A$2:$A$53 - Settings!$B$4/24) &lt;= A194)*((Data!$B$2:$B$53 + Settings!$B$4/24) &gt; A194))&gt;0)</f>
        <v>0</v>
      </c>
      <c r="F194">
        <f>--(SUMPRODUCT((Data!$C$2:$C$53="TT2")*((Data!$A$2:$A$53 - Settings!$B$4/24) &lt;= A194)*((Data!$B$2:$B$53 + Settings!$B$4/24) &gt; A194))&gt;0)</f>
        <v>0</v>
      </c>
    </row>
    <row r="195" spans="1:6" ht="15.6" x14ac:dyDescent="0.3">
      <c r="A195" s="1">
        <v>45940.042013888888</v>
      </c>
      <c r="B195">
        <f>--(SUMPRODUCT((Data!$C$2:$C$53="K12C")*((Data!$A$2:$A$53 - Settings!$B$4/24) &lt;= A195)*((Data!$B$2:$B$53 + Settings!$B$4/24) &gt; A195))&gt;0)</f>
        <v>0</v>
      </c>
      <c r="C195">
        <f>--(SUMPRODUCT((Data!$C$2:$C$53="K12A")*((Data!$A$2:$A$53 - Settings!$B$4/24) &lt;= A195)*((Data!$B$2:$B$53 + Settings!$B$4/24) &gt; A195))&gt;0)</f>
        <v>0</v>
      </c>
      <c r="D195">
        <f>--(SUMPRODUCT((Data!$C$2:$C$53="K12")*((Data!$A$2:$A$53 - Settings!$B$4/24) &lt;= A195)*((Data!$B$2:$B$53 + Settings!$B$4/24) &gt; A195))&gt;0)</f>
        <v>1</v>
      </c>
      <c r="E195">
        <f>--(SUMPRODUCT((Data!$C$2:$C$53="K12B")*((Data!$A$2:$A$53 - Settings!$B$4/24) &lt;= A195)*((Data!$B$2:$B$53 + Settings!$B$4/24) &gt; A195))&gt;0)</f>
        <v>0</v>
      </c>
      <c r="F195">
        <f>--(SUMPRODUCT((Data!$C$2:$C$53="TT2")*((Data!$A$2:$A$53 - Settings!$B$4/24) &lt;= A195)*((Data!$B$2:$B$53 + Settings!$B$4/24) &gt; A195))&gt;0)</f>
        <v>0</v>
      </c>
    </row>
    <row r="196" spans="1:6" ht="15.6" x14ac:dyDescent="0.3">
      <c r="A196" s="1">
        <v>45940.083680555559</v>
      </c>
      <c r="B196">
        <f>--(SUMPRODUCT((Data!$C$2:$C$53="K12C")*((Data!$A$2:$A$53 - Settings!$B$4/24) &lt;= A196)*((Data!$B$2:$B$53 + Settings!$B$4/24) &gt; A196))&gt;0)</f>
        <v>0</v>
      </c>
      <c r="C196">
        <f>--(SUMPRODUCT((Data!$C$2:$C$53="K12A")*((Data!$A$2:$A$53 - Settings!$B$4/24) &lt;= A196)*((Data!$B$2:$B$53 + Settings!$B$4/24) &gt; A196))&gt;0)</f>
        <v>0</v>
      </c>
      <c r="D196">
        <f>--(SUMPRODUCT((Data!$C$2:$C$53="K12")*((Data!$A$2:$A$53 - Settings!$B$4/24) &lt;= A196)*((Data!$B$2:$B$53 + Settings!$B$4/24) &gt; A196))&gt;0)</f>
        <v>1</v>
      </c>
      <c r="E196">
        <f>--(SUMPRODUCT((Data!$C$2:$C$53="K12B")*((Data!$A$2:$A$53 - Settings!$B$4/24) &lt;= A196)*((Data!$B$2:$B$53 + Settings!$B$4/24) &gt; A196))&gt;0)</f>
        <v>0</v>
      </c>
      <c r="F196">
        <f>--(SUMPRODUCT((Data!$C$2:$C$53="TT2")*((Data!$A$2:$A$53 - Settings!$B$4/24) &lt;= A196)*((Data!$B$2:$B$53 + Settings!$B$4/24) &gt; A196))&gt;0)</f>
        <v>0</v>
      </c>
    </row>
    <row r="197" spans="1:6" ht="15.6" x14ac:dyDescent="0.3">
      <c r="A197" s="1">
        <v>45940.125347222223</v>
      </c>
      <c r="B197">
        <f>--(SUMPRODUCT((Data!$C$2:$C$53="K12C")*((Data!$A$2:$A$53 - Settings!$B$4/24) &lt;= A197)*((Data!$B$2:$B$53 + Settings!$B$4/24) &gt; A197))&gt;0)</f>
        <v>0</v>
      </c>
      <c r="C197">
        <f>--(SUMPRODUCT((Data!$C$2:$C$53="K12A")*((Data!$A$2:$A$53 - Settings!$B$4/24) &lt;= A197)*((Data!$B$2:$B$53 + Settings!$B$4/24) &gt; A197))&gt;0)</f>
        <v>0</v>
      </c>
      <c r="D197">
        <f>--(SUMPRODUCT((Data!$C$2:$C$53="K12")*((Data!$A$2:$A$53 - Settings!$B$4/24) &lt;= A197)*((Data!$B$2:$B$53 + Settings!$B$4/24) &gt; A197))&gt;0)</f>
        <v>1</v>
      </c>
      <c r="E197">
        <f>--(SUMPRODUCT((Data!$C$2:$C$53="K12B")*((Data!$A$2:$A$53 - Settings!$B$4/24) &lt;= A197)*((Data!$B$2:$B$53 + Settings!$B$4/24) &gt; A197))&gt;0)</f>
        <v>0</v>
      </c>
      <c r="F197">
        <f>--(SUMPRODUCT((Data!$C$2:$C$53="TT2")*((Data!$A$2:$A$53 - Settings!$B$4/24) &lt;= A197)*((Data!$B$2:$B$53 + Settings!$B$4/24) &gt; A197))&gt;0)</f>
        <v>0</v>
      </c>
    </row>
    <row r="198" spans="1:6" ht="15.6" x14ac:dyDescent="0.3">
      <c r="A198" s="1">
        <v>45940.167013888888</v>
      </c>
      <c r="B198">
        <f>--(SUMPRODUCT((Data!$C$2:$C$53="K12C")*((Data!$A$2:$A$53 - Settings!$B$4/24) &lt;= A198)*((Data!$B$2:$B$53 + Settings!$B$4/24) &gt; A198))&gt;0)</f>
        <v>0</v>
      </c>
      <c r="C198">
        <f>--(SUMPRODUCT((Data!$C$2:$C$53="K12A")*((Data!$A$2:$A$53 - Settings!$B$4/24) &lt;= A198)*((Data!$B$2:$B$53 + Settings!$B$4/24) &gt; A198))&gt;0)</f>
        <v>0</v>
      </c>
      <c r="D198">
        <f>--(SUMPRODUCT((Data!$C$2:$C$53="K12")*((Data!$A$2:$A$53 - Settings!$B$4/24) &lt;= A198)*((Data!$B$2:$B$53 + Settings!$B$4/24) &gt; A198))&gt;0)</f>
        <v>1</v>
      </c>
      <c r="E198">
        <f>--(SUMPRODUCT((Data!$C$2:$C$53="K12B")*((Data!$A$2:$A$53 - Settings!$B$4/24) &lt;= A198)*((Data!$B$2:$B$53 + Settings!$B$4/24) &gt; A198))&gt;0)</f>
        <v>0</v>
      </c>
      <c r="F198">
        <f>--(SUMPRODUCT((Data!$C$2:$C$53="TT2")*((Data!$A$2:$A$53 - Settings!$B$4/24) &lt;= A198)*((Data!$B$2:$B$53 + Settings!$B$4/24) &gt; A198))&gt;0)</f>
        <v>0</v>
      </c>
    </row>
    <row r="199" spans="1:6" ht="15.6" x14ac:dyDescent="0.3">
      <c r="A199" s="1">
        <v>45940.208680555559</v>
      </c>
      <c r="B199">
        <f>--(SUMPRODUCT((Data!$C$2:$C$53="K12C")*((Data!$A$2:$A$53 - Settings!$B$4/24) &lt;= A199)*((Data!$B$2:$B$53 + Settings!$B$4/24) &gt; A199))&gt;0)</f>
        <v>0</v>
      </c>
      <c r="C199">
        <f>--(SUMPRODUCT((Data!$C$2:$C$53="K12A")*((Data!$A$2:$A$53 - Settings!$B$4/24) &lt;= A199)*((Data!$B$2:$B$53 + Settings!$B$4/24) &gt; A199))&gt;0)</f>
        <v>0</v>
      </c>
      <c r="D199">
        <f>--(SUMPRODUCT((Data!$C$2:$C$53="K12")*((Data!$A$2:$A$53 - Settings!$B$4/24) &lt;= A199)*((Data!$B$2:$B$53 + Settings!$B$4/24) &gt; A199))&gt;0)</f>
        <v>1</v>
      </c>
      <c r="E199">
        <f>--(SUMPRODUCT((Data!$C$2:$C$53="K12B")*((Data!$A$2:$A$53 - Settings!$B$4/24) &lt;= A199)*((Data!$B$2:$B$53 + Settings!$B$4/24) &gt; A199))&gt;0)</f>
        <v>0</v>
      </c>
      <c r="F199">
        <f>--(SUMPRODUCT((Data!$C$2:$C$53="TT2")*((Data!$A$2:$A$53 - Settings!$B$4/24) &lt;= A199)*((Data!$B$2:$B$53 + Settings!$B$4/24) &gt; A199))&gt;0)</f>
        <v>0</v>
      </c>
    </row>
    <row r="200" spans="1:6" ht="15.6" x14ac:dyDescent="0.3">
      <c r="A200" s="1">
        <v>45940.250347222223</v>
      </c>
      <c r="B200">
        <f>--(SUMPRODUCT((Data!$C$2:$C$53="K12C")*((Data!$A$2:$A$53 - Settings!$B$4/24) &lt;= A200)*((Data!$B$2:$B$53 + Settings!$B$4/24) &gt; A200))&gt;0)</f>
        <v>0</v>
      </c>
      <c r="C200">
        <f>--(SUMPRODUCT((Data!$C$2:$C$53="K12A")*((Data!$A$2:$A$53 - Settings!$B$4/24) &lt;= A200)*((Data!$B$2:$B$53 + Settings!$B$4/24) &gt; A200))&gt;0)</f>
        <v>0</v>
      </c>
      <c r="D200">
        <f>--(SUMPRODUCT((Data!$C$2:$C$53="K12")*((Data!$A$2:$A$53 - Settings!$B$4/24) &lt;= A200)*((Data!$B$2:$B$53 + Settings!$B$4/24) &gt; A200))&gt;0)</f>
        <v>1</v>
      </c>
      <c r="E200">
        <f>--(SUMPRODUCT((Data!$C$2:$C$53="K12B")*((Data!$A$2:$A$53 - Settings!$B$4/24) &lt;= A200)*((Data!$B$2:$B$53 + Settings!$B$4/24) &gt; A200))&gt;0)</f>
        <v>0</v>
      </c>
      <c r="F200">
        <f>--(SUMPRODUCT((Data!$C$2:$C$53="TT2")*((Data!$A$2:$A$53 - Settings!$B$4/24) &lt;= A200)*((Data!$B$2:$B$53 + Settings!$B$4/24) &gt; A200))&gt;0)</f>
        <v>0</v>
      </c>
    </row>
    <row r="201" spans="1:6" ht="15.6" x14ac:dyDescent="0.3">
      <c r="A201" s="1">
        <v>45940.292013888888</v>
      </c>
      <c r="B201">
        <f>--(SUMPRODUCT((Data!$C$2:$C$53="K12C")*((Data!$A$2:$A$53 - Settings!$B$4/24) &lt;= A201)*((Data!$B$2:$B$53 + Settings!$B$4/24) &gt; A201))&gt;0)</f>
        <v>0</v>
      </c>
      <c r="C201">
        <f>--(SUMPRODUCT((Data!$C$2:$C$53="K12A")*((Data!$A$2:$A$53 - Settings!$B$4/24) &lt;= A201)*((Data!$B$2:$B$53 + Settings!$B$4/24) &gt; A201))&gt;0)</f>
        <v>0</v>
      </c>
      <c r="D201">
        <f>--(SUMPRODUCT((Data!$C$2:$C$53="K12")*((Data!$A$2:$A$53 - Settings!$B$4/24) &lt;= A201)*((Data!$B$2:$B$53 + Settings!$B$4/24) &gt; A201))&gt;0)</f>
        <v>1</v>
      </c>
      <c r="E201">
        <f>--(SUMPRODUCT((Data!$C$2:$C$53="K12B")*((Data!$A$2:$A$53 - Settings!$B$4/24) &lt;= A201)*((Data!$B$2:$B$53 + Settings!$B$4/24) &gt; A201))&gt;0)</f>
        <v>0</v>
      </c>
      <c r="F201">
        <f>--(SUMPRODUCT((Data!$C$2:$C$53="TT2")*((Data!$A$2:$A$53 - Settings!$B$4/24) &lt;= A201)*((Data!$B$2:$B$53 + Settings!$B$4/24) &gt; A201))&gt;0)</f>
        <v>0</v>
      </c>
    </row>
    <row r="202" spans="1:6" ht="15.6" x14ac:dyDescent="0.3">
      <c r="A202" s="1">
        <v>45940.333680555559</v>
      </c>
      <c r="B202">
        <f>--(SUMPRODUCT((Data!$C$2:$C$53="K12C")*((Data!$A$2:$A$53 - Settings!$B$4/24) &lt;= A202)*((Data!$B$2:$B$53 + Settings!$B$4/24) &gt; A202))&gt;0)</f>
        <v>0</v>
      </c>
      <c r="C202">
        <f>--(SUMPRODUCT((Data!$C$2:$C$53="K12A")*((Data!$A$2:$A$53 - Settings!$B$4/24) &lt;= A202)*((Data!$B$2:$B$53 + Settings!$B$4/24) &gt; A202))&gt;0)</f>
        <v>0</v>
      </c>
      <c r="D202">
        <f>--(SUMPRODUCT((Data!$C$2:$C$53="K12")*((Data!$A$2:$A$53 - Settings!$B$4/24) &lt;= A202)*((Data!$B$2:$B$53 + Settings!$B$4/24) &gt; A202))&gt;0)</f>
        <v>1</v>
      </c>
      <c r="E202">
        <f>--(SUMPRODUCT((Data!$C$2:$C$53="K12B")*((Data!$A$2:$A$53 - Settings!$B$4/24) &lt;= A202)*((Data!$B$2:$B$53 + Settings!$B$4/24) &gt; A202))&gt;0)</f>
        <v>0</v>
      </c>
      <c r="F202">
        <f>--(SUMPRODUCT((Data!$C$2:$C$53="TT2")*((Data!$A$2:$A$53 - Settings!$B$4/24) &lt;= A202)*((Data!$B$2:$B$53 + Settings!$B$4/24) &gt; A202))&gt;0)</f>
        <v>0</v>
      </c>
    </row>
    <row r="203" spans="1:6" ht="15.6" x14ac:dyDescent="0.3">
      <c r="A203" s="1">
        <v>45940.375347222223</v>
      </c>
      <c r="B203">
        <f>--(SUMPRODUCT((Data!$C$2:$C$53="K12C")*((Data!$A$2:$A$53 - Settings!$B$4/24) &lt;= A203)*((Data!$B$2:$B$53 + Settings!$B$4/24) &gt; A203))&gt;0)</f>
        <v>0</v>
      </c>
      <c r="C203">
        <f>--(SUMPRODUCT((Data!$C$2:$C$53="K12A")*((Data!$A$2:$A$53 - Settings!$B$4/24) &lt;= A203)*((Data!$B$2:$B$53 + Settings!$B$4/24) &gt; A203))&gt;0)</f>
        <v>0</v>
      </c>
      <c r="D203">
        <f>--(SUMPRODUCT((Data!$C$2:$C$53="K12")*((Data!$A$2:$A$53 - Settings!$B$4/24) &lt;= A203)*((Data!$B$2:$B$53 + Settings!$B$4/24) &gt; A203))&gt;0)</f>
        <v>1</v>
      </c>
      <c r="E203">
        <f>--(SUMPRODUCT((Data!$C$2:$C$53="K12B")*((Data!$A$2:$A$53 - Settings!$B$4/24) &lt;= A203)*((Data!$B$2:$B$53 + Settings!$B$4/24) &gt; A203))&gt;0)</f>
        <v>0</v>
      </c>
      <c r="F203">
        <f>--(SUMPRODUCT((Data!$C$2:$C$53="TT2")*((Data!$A$2:$A$53 - Settings!$B$4/24) &lt;= A203)*((Data!$B$2:$B$53 + Settings!$B$4/24) &gt; A203))&gt;0)</f>
        <v>0</v>
      </c>
    </row>
    <row r="204" spans="1:6" ht="15.6" x14ac:dyDescent="0.3">
      <c r="A204" s="1">
        <v>45940.417013888888</v>
      </c>
      <c r="B204">
        <f>--(SUMPRODUCT((Data!$C$2:$C$53="K12C")*((Data!$A$2:$A$53 - Settings!$B$4/24) &lt;= A204)*((Data!$B$2:$B$53 + Settings!$B$4/24) &gt; A204))&gt;0)</f>
        <v>0</v>
      </c>
      <c r="C204">
        <f>--(SUMPRODUCT((Data!$C$2:$C$53="K12A")*((Data!$A$2:$A$53 - Settings!$B$4/24) &lt;= A204)*((Data!$B$2:$B$53 + Settings!$B$4/24) &gt; A204))&gt;0)</f>
        <v>0</v>
      </c>
      <c r="D204">
        <f>--(SUMPRODUCT((Data!$C$2:$C$53="K12")*((Data!$A$2:$A$53 - Settings!$B$4/24) &lt;= A204)*((Data!$B$2:$B$53 + Settings!$B$4/24) &gt; A204))&gt;0)</f>
        <v>1</v>
      </c>
      <c r="E204">
        <f>--(SUMPRODUCT((Data!$C$2:$C$53="K12B")*((Data!$A$2:$A$53 - Settings!$B$4/24) &lt;= A204)*((Data!$B$2:$B$53 + Settings!$B$4/24) &gt; A204))&gt;0)</f>
        <v>0</v>
      </c>
      <c r="F204">
        <f>--(SUMPRODUCT((Data!$C$2:$C$53="TT2")*((Data!$A$2:$A$53 - Settings!$B$4/24) &lt;= A204)*((Data!$B$2:$B$53 + Settings!$B$4/24) &gt; A204))&gt;0)</f>
        <v>0</v>
      </c>
    </row>
    <row r="205" spans="1:6" ht="15.6" x14ac:dyDescent="0.3">
      <c r="A205" s="1">
        <v>45940.458680555559</v>
      </c>
      <c r="B205">
        <f>--(SUMPRODUCT((Data!$C$2:$C$53="K12C")*((Data!$A$2:$A$53 - Settings!$B$4/24) &lt;= A205)*((Data!$B$2:$B$53 + Settings!$B$4/24) &gt; A205))&gt;0)</f>
        <v>0</v>
      </c>
      <c r="C205">
        <f>--(SUMPRODUCT((Data!$C$2:$C$53="K12A")*((Data!$A$2:$A$53 - Settings!$B$4/24) &lt;= A205)*((Data!$B$2:$B$53 + Settings!$B$4/24) &gt; A205))&gt;0)</f>
        <v>0</v>
      </c>
      <c r="D205">
        <f>--(SUMPRODUCT((Data!$C$2:$C$53="K12")*((Data!$A$2:$A$53 - Settings!$B$4/24) &lt;= A205)*((Data!$B$2:$B$53 + Settings!$B$4/24) &gt; A205))&gt;0)</f>
        <v>1</v>
      </c>
      <c r="E205">
        <f>--(SUMPRODUCT((Data!$C$2:$C$53="K12B")*((Data!$A$2:$A$53 - Settings!$B$4/24) &lt;= A205)*((Data!$B$2:$B$53 + Settings!$B$4/24) &gt; A205))&gt;0)</f>
        <v>0</v>
      </c>
      <c r="F205">
        <f>--(SUMPRODUCT((Data!$C$2:$C$53="TT2")*((Data!$A$2:$A$53 - Settings!$B$4/24) &lt;= A205)*((Data!$B$2:$B$53 + Settings!$B$4/24) &gt; A205))&gt;0)</f>
        <v>0</v>
      </c>
    </row>
    <row r="206" spans="1:6" ht="15.6" x14ac:dyDescent="0.3">
      <c r="A206" s="1">
        <v>45940.500347222223</v>
      </c>
      <c r="B206">
        <f>--(SUMPRODUCT((Data!$C$2:$C$53="K12C")*((Data!$A$2:$A$53 - Settings!$B$4/24) &lt;= A206)*((Data!$B$2:$B$53 + Settings!$B$4/24) &gt; A206))&gt;0)</f>
        <v>0</v>
      </c>
      <c r="C206">
        <f>--(SUMPRODUCT((Data!$C$2:$C$53="K12A")*((Data!$A$2:$A$53 - Settings!$B$4/24) &lt;= A206)*((Data!$B$2:$B$53 + Settings!$B$4/24) &gt; A206))&gt;0)</f>
        <v>0</v>
      </c>
      <c r="D206">
        <f>--(SUMPRODUCT((Data!$C$2:$C$53="K12")*((Data!$A$2:$A$53 - Settings!$B$4/24) &lt;= A206)*((Data!$B$2:$B$53 + Settings!$B$4/24) &gt; A206))&gt;0)</f>
        <v>1</v>
      </c>
      <c r="E206">
        <f>--(SUMPRODUCT((Data!$C$2:$C$53="K12B")*((Data!$A$2:$A$53 - Settings!$B$4/24) &lt;= A206)*((Data!$B$2:$B$53 + Settings!$B$4/24) &gt; A206))&gt;0)</f>
        <v>0</v>
      </c>
      <c r="F206">
        <f>--(SUMPRODUCT((Data!$C$2:$C$53="TT2")*((Data!$A$2:$A$53 - Settings!$B$4/24) &lt;= A206)*((Data!$B$2:$B$53 + Settings!$B$4/24) &gt; A206))&gt;0)</f>
        <v>0</v>
      </c>
    </row>
    <row r="207" spans="1:6" ht="15.6" x14ac:dyDescent="0.3">
      <c r="A207" s="1">
        <v>45940.542013888888</v>
      </c>
      <c r="B207">
        <f>--(SUMPRODUCT((Data!$C$2:$C$53="K12C")*((Data!$A$2:$A$53 - Settings!$B$4/24) &lt;= A207)*((Data!$B$2:$B$53 + Settings!$B$4/24) &gt; A207))&gt;0)</f>
        <v>0</v>
      </c>
      <c r="C207">
        <f>--(SUMPRODUCT((Data!$C$2:$C$53="K12A")*((Data!$A$2:$A$53 - Settings!$B$4/24) &lt;= A207)*((Data!$B$2:$B$53 + Settings!$B$4/24) &gt; A207))&gt;0)</f>
        <v>0</v>
      </c>
      <c r="D207">
        <f>--(SUMPRODUCT((Data!$C$2:$C$53="K12")*((Data!$A$2:$A$53 - Settings!$B$4/24) &lt;= A207)*((Data!$B$2:$B$53 + Settings!$B$4/24) &gt; A207))&gt;0)</f>
        <v>1</v>
      </c>
      <c r="E207">
        <f>--(SUMPRODUCT((Data!$C$2:$C$53="K12B")*((Data!$A$2:$A$53 - Settings!$B$4/24) &lt;= A207)*((Data!$B$2:$B$53 + Settings!$B$4/24) &gt; A207))&gt;0)</f>
        <v>0</v>
      </c>
      <c r="F207">
        <f>--(SUMPRODUCT((Data!$C$2:$C$53="TT2")*((Data!$A$2:$A$53 - Settings!$B$4/24) &lt;= A207)*((Data!$B$2:$B$53 + Settings!$B$4/24) &gt; A207))&gt;0)</f>
        <v>0</v>
      </c>
    </row>
    <row r="208" spans="1:6" ht="15.6" x14ac:dyDescent="0.3">
      <c r="A208" s="1">
        <v>45940.583680555559</v>
      </c>
      <c r="B208">
        <f>--(SUMPRODUCT((Data!$C$2:$C$53="K12C")*((Data!$A$2:$A$53 - Settings!$B$4/24) &lt;= A208)*((Data!$B$2:$B$53 + Settings!$B$4/24) &gt; A208))&gt;0)</f>
        <v>0</v>
      </c>
      <c r="C208">
        <f>--(SUMPRODUCT((Data!$C$2:$C$53="K12A")*((Data!$A$2:$A$53 - Settings!$B$4/24) &lt;= A208)*((Data!$B$2:$B$53 + Settings!$B$4/24) &gt; A208))&gt;0)</f>
        <v>0</v>
      </c>
      <c r="D208">
        <f>--(SUMPRODUCT((Data!$C$2:$C$53="K12")*((Data!$A$2:$A$53 - Settings!$B$4/24) &lt;= A208)*((Data!$B$2:$B$53 + Settings!$B$4/24) &gt; A208))&gt;0)</f>
        <v>1</v>
      </c>
      <c r="E208">
        <f>--(SUMPRODUCT((Data!$C$2:$C$53="K12B")*((Data!$A$2:$A$53 - Settings!$B$4/24) &lt;= A208)*((Data!$B$2:$B$53 + Settings!$B$4/24) &gt; A208))&gt;0)</f>
        <v>1</v>
      </c>
      <c r="F208">
        <f>--(SUMPRODUCT((Data!$C$2:$C$53="TT2")*((Data!$A$2:$A$53 - Settings!$B$4/24) &lt;= A208)*((Data!$B$2:$B$53 + Settings!$B$4/24) &gt; A208))&gt;0)</f>
        <v>0</v>
      </c>
    </row>
    <row r="209" spans="1:6" ht="15.6" x14ac:dyDescent="0.3">
      <c r="A209" s="1">
        <v>45940.625347222223</v>
      </c>
      <c r="B209">
        <f>--(SUMPRODUCT((Data!$C$2:$C$53="K12C")*((Data!$A$2:$A$53 - Settings!$B$4/24) &lt;= A209)*((Data!$B$2:$B$53 + Settings!$B$4/24) &gt; A209))&gt;0)</f>
        <v>0</v>
      </c>
      <c r="C209">
        <f>--(SUMPRODUCT((Data!$C$2:$C$53="K12A")*((Data!$A$2:$A$53 - Settings!$B$4/24) &lt;= A209)*((Data!$B$2:$B$53 + Settings!$B$4/24) &gt; A209))&gt;0)</f>
        <v>0</v>
      </c>
      <c r="D209">
        <f>--(SUMPRODUCT((Data!$C$2:$C$53="K12")*((Data!$A$2:$A$53 - Settings!$B$4/24) &lt;= A209)*((Data!$B$2:$B$53 + Settings!$B$4/24) &gt; A209))&gt;0)</f>
        <v>1</v>
      </c>
      <c r="E209">
        <f>--(SUMPRODUCT((Data!$C$2:$C$53="K12B")*((Data!$A$2:$A$53 - Settings!$B$4/24) &lt;= A209)*((Data!$B$2:$B$53 + Settings!$B$4/24) &gt; A209))&gt;0)</f>
        <v>1</v>
      </c>
      <c r="F209">
        <f>--(SUMPRODUCT((Data!$C$2:$C$53="TT2")*((Data!$A$2:$A$53 - Settings!$B$4/24) &lt;= A209)*((Data!$B$2:$B$53 + Settings!$B$4/24) &gt; A209))&gt;0)</f>
        <v>0</v>
      </c>
    </row>
    <row r="210" spans="1:6" ht="15.6" x14ac:dyDescent="0.3">
      <c r="A210" s="1">
        <v>45940.667013888888</v>
      </c>
      <c r="B210">
        <f>--(SUMPRODUCT((Data!$C$2:$C$53="K12C")*((Data!$A$2:$A$53 - Settings!$B$4/24) &lt;= A210)*((Data!$B$2:$B$53 + Settings!$B$4/24) &gt; A210))&gt;0)</f>
        <v>0</v>
      </c>
      <c r="C210">
        <f>--(SUMPRODUCT((Data!$C$2:$C$53="K12A")*((Data!$A$2:$A$53 - Settings!$B$4/24) &lt;= A210)*((Data!$B$2:$B$53 + Settings!$B$4/24) &gt; A210))&gt;0)</f>
        <v>0</v>
      </c>
      <c r="D210">
        <f>--(SUMPRODUCT((Data!$C$2:$C$53="K12")*((Data!$A$2:$A$53 - Settings!$B$4/24) &lt;= A210)*((Data!$B$2:$B$53 + Settings!$B$4/24) &gt; A210))&gt;0)</f>
        <v>0</v>
      </c>
      <c r="E210">
        <f>--(SUMPRODUCT((Data!$C$2:$C$53="K12B")*((Data!$A$2:$A$53 - Settings!$B$4/24) &lt;= A210)*((Data!$B$2:$B$53 + Settings!$B$4/24) &gt; A210))&gt;0)</f>
        <v>1</v>
      </c>
      <c r="F210">
        <f>--(SUMPRODUCT((Data!$C$2:$C$53="TT2")*((Data!$A$2:$A$53 - Settings!$B$4/24) &lt;= A210)*((Data!$B$2:$B$53 + Settings!$B$4/24) &gt; A210))&gt;0)</f>
        <v>0</v>
      </c>
    </row>
    <row r="211" spans="1:6" ht="15.6" x14ac:dyDescent="0.3">
      <c r="A211" s="1">
        <v>45940.708680555559</v>
      </c>
      <c r="B211">
        <f>--(SUMPRODUCT((Data!$C$2:$C$53="K12C")*((Data!$A$2:$A$53 - Settings!$B$4/24) &lt;= A211)*((Data!$B$2:$B$53 + Settings!$B$4/24) &gt; A211))&gt;0)</f>
        <v>0</v>
      </c>
      <c r="C211">
        <f>--(SUMPRODUCT((Data!$C$2:$C$53="K12A")*((Data!$A$2:$A$53 - Settings!$B$4/24) &lt;= A211)*((Data!$B$2:$B$53 + Settings!$B$4/24) &gt; A211))&gt;0)</f>
        <v>0</v>
      </c>
      <c r="D211">
        <f>--(SUMPRODUCT((Data!$C$2:$C$53="K12")*((Data!$A$2:$A$53 - Settings!$B$4/24) &lt;= A211)*((Data!$B$2:$B$53 + Settings!$B$4/24) &gt; A211))&gt;0)</f>
        <v>0</v>
      </c>
      <c r="E211">
        <f>--(SUMPRODUCT((Data!$C$2:$C$53="K12B")*((Data!$A$2:$A$53 - Settings!$B$4/24) &lt;= A211)*((Data!$B$2:$B$53 + Settings!$B$4/24) &gt; A211))&gt;0)</f>
        <v>1</v>
      </c>
      <c r="F211">
        <f>--(SUMPRODUCT((Data!$C$2:$C$53="TT2")*((Data!$A$2:$A$53 - Settings!$B$4/24) &lt;= A211)*((Data!$B$2:$B$53 + Settings!$B$4/24) &gt; A211))&gt;0)</f>
        <v>0</v>
      </c>
    </row>
    <row r="212" spans="1:6" ht="15.6" x14ac:dyDescent="0.3">
      <c r="A212" s="1">
        <v>45940.750347222223</v>
      </c>
      <c r="B212">
        <f>--(SUMPRODUCT((Data!$C$2:$C$53="K12C")*((Data!$A$2:$A$53 - Settings!$B$4/24) &lt;= A212)*((Data!$B$2:$B$53 + Settings!$B$4/24) &gt; A212))&gt;0)</f>
        <v>0</v>
      </c>
      <c r="C212">
        <f>--(SUMPRODUCT((Data!$C$2:$C$53="K12A")*((Data!$A$2:$A$53 - Settings!$B$4/24) &lt;= A212)*((Data!$B$2:$B$53 + Settings!$B$4/24) &gt; A212))&gt;0)</f>
        <v>0</v>
      </c>
      <c r="D212">
        <f>--(SUMPRODUCT((Data!$C$2:$C$53="K12")*((Data!$A$2:$A$53 - Settings!$B$4/24) &lt;= A212)*((Data!$B$2:$B$53 + Settings!$B$4/24) &gt; A212))&gt;0)</f>
        <v>0</v>
      </c>
      <c r="E212">
        <f>--(SUMPRODUCT((Data!$C$2:$C$53="K12B")*((Data!$A$2:$A$53 - Settings!$B$4/24) &lt;= A212)*((Data!$B$2:$B$53 + Settings!$B$4/24) &gt; A212))&gt;0)</f>
        <v>1</v>
      </c>
      <c r="F212">
        <f>--(SUMPRODUCT((Data!$C$2:$C$53="TT2")*((Data!$A$2:$A$53 - Settings!$B$4/24) &lt;= A212)*((Data!$B$2:$B$53 + Settings!$B$4/24) &gt; A212))&gt;0)</f>
        <v>0</v>
      </c>
    </row>
    <row r="213" spans="1:6" ht="15.6" x14ac:dyDescent="0.3">
      <c r="A213" s="1">
        <v>45940.792013888888</v>
      </c>
      <c r="B213">
        <f>--(SUMPRODUCT((Data!$C$2:$C$53="K12C")*((Data!$A$2:$A$53 - Settings!$B$4/24) &lt;= A213)*((Data!$B$2:$B$53 + Settings!$B$4/24) &gt; A213))&gt;0)</f>
        <v>0</v>
      </c>
      <c r="C213">
        <f>--(SUMPRODUCT((Data!$C$2:$C$53="K12A")*((Data!$A$2:$A$53 - Settings!$B$4/24) &lt;= A213)*((Data!$B$2:$B$53 + Settings!$B$4/24) &gt; A213))&gt;0)</f>
        <v>0</v>
      </c>
      <c r="D213">
        <f>--(SUMPRODUCT((Data!$C$2:$C$53="K12")*((Data!$A$2:$A$53 - Settings!$B$4/24) &lt;= A213)*((Data!$B$2:$B$53 + Settings!$B$4/24) &gt; A213))&gt;0)</f>
        <v>0</v>
      </c>
      <c r="E213">
        <f>--(SUMPRODUCT((Data!$C$2:$C$53="K12B")*((Data!$A$2:$A$53 - Settings!$B$4/24) &lt;= A213)*((Data!$B$2:$B$53 + Settings!$B$4/24) &gt; A213))&gt;0)</f>
        <v>1</v>
      </c>
      <c r="F213">
        <f>--(SUMPRODUCT((Data!$C$2:$C$53="TT2")*((Data!$A$2:$A$53 - Settings!$B$4/24) &lt;= A213)*((Data!$B$2:$B$53 + Settings!$B$4/24) &gt; A213))&gt;0)</f>
        <v>0</v>
      </c>
    </row>
    <row r="214" spans="1:6" ht="15.6" x14ac:dyDescent="0.3">
      <c r="A214" s="1">
        <v>45940.833680555559</v>
      </c>
      <c r="B214">
        <f>--(SUMPRODUCT((Data!$C$2:$C$53="K12C")*((Data!$A$2:$A$53 - Settings!$B$4/24) &lt;= A214)*((Data!$B$2:$B$53 + Settings!$B$4/24) &gt; A214))&gt;0)</f>
        <v>0</v>
      </c>
      <c r="C214">
        <f>--(SUMPRODUCT((Data!$C$2:$C$53="K12A")*((Data!$A$2:$A$53 - Settings!$B$4/24) &lt;= A214)*((Data!$B$2:$B$53 + Settings!$B$4/24) &gt; A214))&gt;0)</f>
        <v>0</v>
      </c>
      <c r="D214">
        <f>--(SUMPRODUCT((Data!$C$2:$C$53="K12")*((Data!$A$2:$A$53 - Settings!$B$4/24) &lt;= A214)*((Data!$B$2:$B$53 + Settings!$B$4/24) &gt; A214))&gt;0)</f>
        <v>0</v>
      </c>
      <c r="E214">
        <f>--(SUMPRODUCT((Data!$C$2:$C$53="K12B")*((Data!$A$2:$A$53 - Settings!$B$4/24) &lt;= A214)*((Data!$B$2:$B$53 + Settings!$B$4/24) &gt; A214))&gt;0)</f>
        <v>1</v>
      </c>
      <c r="F214">
        <f>--(SUMPRODUCT((Data!$C$2:$C$53="TT2")*((Data!$A$2:$A$53 - Settings!$B$4/24) &lt;= A214)*((Data!$B$2:$B$53 + Settings!$B$4/24) &gt; A214))&gt;0)</f>
        <v>0</v>
      </c>
    </row>
    <row r="215" spans="1:6" ht="15.6" x14ac:dyDescent="0.3">
      <c r="A215" s="1">
        <v>45940.875347222223</v>
      </c>
      <c r="B215">
        <f>--(SUMPRODUCT((Data!$C$2:$C$53="K12C")*((Data!$A$2:$A$53 - Settings!$B$4/24) &lt;= A215)*((Data!$B$2:$B$53 + Settings!$B$4/24) &gt; A215))&gt;0)</f>
        <v>0</v>
      </c>
      <c r="C215">
        <f>--(SUMPRODUCT((Data!$C$2:$C$53="K12A")*((Data!$A$2:$A$53 - Settings!$B$4/24) &lt;= A215)*((Data!$B$2:$B$53 + Settings!$B$4/24) &gt; A215))&gt;0)</f>
        <v>0</v>
      </c>
      <c r="D215">
        <f>--(SUMPRODUCT((Data!$C$2:$C$53="K12")*((Data!$A$2:$A$53 - Settings!$B$4/24) &lt;= A215)*((Data!$B$2:$B$53 + Settings!$B$4/24) &gt; A215))&gt;0)</f>
        <v>0</v>
      </c>
      <c r="E215">
        <f>--(SUMPRODUCT((Data!$C$2:$C$53="K12B")*((Data!$A$2:$A$53 - Settings!$B$4/24) &lt;= A215)*((Data!$B$2:$B$53 + Settings!$B$4/24) &gt; A215))&gt;0)</f>
        <v>1</v>
      </c>
      <c r="F215">
        <f>--(SUMPRODUCT((Data!$C$2:$C$53="TT2")*((Data!$A$2:$A$53 - Settings!$B$4/24) &lt;= A215)*((Data!$B$2:$B$53 + Settings!$B$4/24) &gt; A215))&gt;0)</f>
        <v>0</v>
      </c>
    </row>
    <row r="216" spans="1:6" ht="15.6" x14ac:dyDescent="0.3">
      <c r="A216" s="1">
        <v>45940.917013888888</v>
      </c>
      <c r="B216">
        <f>--(SUMPRODUCT((Data!$C$2:$C$53="K12C")*((Data!$A$2:$A$53 - Settings!$B$4/24) &lt;= A216)*((Data!$B$2:$B$53 + Settings!$B$4/24) &gt; A216))&gt;0)</f>
        <v>0</v>
      </c>
      <c r="C216">
        <f>--(SUMPRODUCT((Data!$C$2:$C$53="K12A")*((Data!$A$2:$A$53 - Settings!$B$4/24) &lt;= A216)*((Data!$B$2:$B$53 + Settings!$B$4/24) &gt; A216))&gt;0)</f>
        <v>0</v>
      </c>
      <c r="D216">
        <f>--(SUMPRODUCT((Data!$C$2:$C$53="K12")*((Data!$A$2:$A$53 - Settings!$B$4/24) &lt;= A216)*((Data!$B$2:$B$53 + Settings!$B$4/24) &gt; A216))&gt;0)</f>
        <v>0</v>
      </c>
      <c r="E216">
        <f>--(SUMPRODUCT((Data!$C$2:$C$53="K12B")*((Data!$A$2:$A$53 - Settings!$B$4/24) &lt;= A216)*((Data!$B$2:$B$53 + Settings!$B$4/24) &gt; A216))&gt;0)</f>
        <v>1</v>
      </c>
      <c r="F216">
        <f>--(SUMPRODUCT((Data!$C$2:$C$53="TT2")*((Data!$A$2:$A$53 - Settings!$B$4/24) &lt;= A216)*((Data!$B$2:$B$53 + Settings!$B$4/24) &gt; A216))&gt;0)</f>
        <v>0</v>
      </c>
    </row>
    <row r="217" spans="1:6" ht="15.6" x14ac:dyDescent="0.3">
      <c r="A217" s="1">
        <v>45940.958680555559</v>
      </c>
      <c r="B217">
        <f>--(SUMPRODUCT((Data!$C$2:$C$53="K12C")*((Data!$A$2:$A$53 - Settings!$B$4/24) &lt;= A217)*((Data!$B$2:$B$53 + Settings!$B$4/24) &gt; A217))&gt;0)</f>
        <v>0</v>
      </c>
      <c r="C217">
        <f>--(SUMPRODUCT((Data!$C$2:$C$53="K12A")*((Data!$A$2:$A$53 - Settings!$B$4/24) &lt;= A217)*((Data!$B$2:$B$53 + Settings!$B$4/24) &gt; A217))&gt;0)</f>
        <v>0</v>
      </c>
      <c r="D217">
        <f>--(SUMPRODUCT((Data!$C$2:$C$53="K12")*((Data!$A$2:$A$53 - Settings!$B$4/24) &lt;= A217)*((Data!$B$2:$B$53 + Settings!$B$4/24) &gt; A217))&gt;0)</f>
        <v>0</v>
      </c>
      <c r="E217">
        <f>--(SUMPRODUCT((Data!$C$2:$C$53="K12B")*((Data!$A$2:$A$53 - Settings!$B$4/24) &lt;= A217)*((Data!$B$2:$B$53 + Settings!$B$4/24) &gt; A217))&gt;0)</f>
        <v>1</v>
      </c>
      <c r="F217">
        <f>--(SUMPRODUCT((Data!$C$2:$C$53="TT2")*((Data!$A$2:$A$53 - Settings!$B$4/24) &lt;= A217)*((Data!$B$2:$B$53 + Settings!$B$4/24) &gt; A217))&gt;0)</f>
        <v>0</v>
      </c>
    </row>
    <row r="218" spans="1:6" ht="15.6" x14ac:dyDescent="0.3">
      <c r="A218" s="1">
        <v>45941.000347222223</v>
      </c>
      <c r="B218">
        <f>--(SUMPRODUCT((Data!$C$2:$C$53="K12C")*((Data!$A$2:$A$53 - Settings!$B$4/24) &lt;= A218)*((Data!$B$2:$B$53 + Settings!$B$4/24) &gt; A218))&gt;0)</f>
        <v>0</v>
      </c>
      <c r="C218">
        <f>--(SUMPRODUCT((Data!$C$2:$C$53="K12A")*((Data!$A$2:$A$53 - Settings!$B$4/24) &lt;= A218)*((Data!$B$2:$B$53 + Settings!$B$4/24) &gt; A218))&gt;0)</f>
        <v>0</v>
      </c>
      <c r="D218">
        <f>--(SUMPRODUCT((Data!$C$2:$C$53="K12")*((Data!$A$2:$A$53 - Settings!$B$4/24) &lt;= A218)*((Data!$B$2:$B$53 + Settings!$B$4/24) &gt; A218))&gt;0)</f>
        <v>0</v>
      </c>
      <c r="E218">
        <f>--(SUMPRODUCT((Data!$C$2:$C$53="K12B")*((Data!$A$2:$A$53 - Settings!$B$4/24) &lt;= A218)*((Data!$B$2:$B$53 + Settings!$B$4/24) &gt; A218))&gt;0)</f>
        <v>1</v>
      </c>
      <c r="F218">
        <f>--(SUMPRODUCT((Data!$C$2:$C$53="TT2")*((Data!$A$2:$A$53 - Settings!$B$4/24) &lt;= A218)*((Data!$B$2:$B$53 + Settings!$B$4/24) &gt; A218))&gt;0)</f>
        <v>0</v>
      </c>
    </row>
    <row r="219" spans="1:6" ht="15.6" x14ac:dyDescent="0.3">
      <c r="A219" s="1">
        <v>45941.042013888888</v>
      </c>
      <c r="B219">
        <f>--(SUMPRODUCT((Data!$C$2:$C$53="K12C")*((Data!$A$2:$A$53 - Settings!$B$4/24) &lt;= A219)*((Data!$B$2:$B$53 + Settings!$B$4/24) &gt; A219))&gt;0)</f>
        <v>0</v>
      </c>
      <c r="C219">
        <f>--(SUMPRODUCT((Data!$C$2:$C$53="K12A")*((Data!$A$2:$A$53 - Settings!$B$4/24) &lt;= A219)*((Data!$B$2:$B$53 + Settings!$B$4/24) &gt; A219))&gt;0)</f>
        <v>0</v>
      </c>
      <c r="D219">
        <f>--(SUMPRODUCT((Data!$C$2:$C$53="K12")*((Data!$A$2:$A$53 - Settings!$B$4/24) &lt;= A219)*((Data!$B$2:$B$53 + Settings!$B$4/24) &gt; A219))&gt;0)</f>
        <v>0</v>
      </c>
      <c r="E219">
        <f>--(SUMPRODUCT((Data!$C$2:$C$53="K12B")*((Data!$A$2:$A$53 - Settings!$B$4/24) &lt;= A219)*((Data!$B$2:$B$53 + Settings!$B$4/24) &gt; A219))&gt;0)</f>
        <v>1</v>
      </c>
      <c r="F219">
        <f>--(SUMPRODUCT((Data!$C$2:$C$53="TT2")*((Data!$A$2:$A$53 - Settings!$B$4/24) &lt;= A219)*((Data!$B$2:$B$53 + Settings!$B$4/24) &gt; A219))&gt;0)</f>
        <v>0</v>
      </c>
    </row>
    <row r="220" spans="1:6" ht="15.6" x14ac:dyDescent="0.3">
      <c r="A220" s="1">
        <v>45941.083680555559</v>
      </c>
      <c r="B220">
        <f>--(SUMPRODUCT((Data!$C$2:$C$53="K12C")*((Data!$A$2:$A$53 - Settings!$B$4/24) &lt;= A220)*((Data!$B$2:$B$53 + Settings!$B$4/24) &gt; A220))&gt;0)</f>
        <v>0</v>
      </c>
      <c r="C220">
        <f>--(SUMPRODUCT((Data!$C$2:$C$53="K12A")*((Data!$A$2:$A$53 - Settings!$B$4/24) &lt;= A220)*((Data!$B$2:$B$53 + Settings!$B$4/24) &gt; A220))&gt;0)</f>
        <v>0</v>
      </c>
      <c r="D220">
        <f>--(SUMPRODUCT((Data!$C$2:$C$53="K12")*((Data!$A$2:$A$53 - Settings!$B$4/24) &lt;= A220)*((Data!$B$2:$B$53 + Settings!$B$4/24) &gt; A220))&gt;0)</f>
        <v>0</v>
      </c>
      <c r="E220">
        <f>--(SUMPRODUCT((Data!$C$2:$C$53="K12B")*((Data!$A$2:$A$53 - Settings!$B$4/24) &lt;= A220)*((Data!$B$2:$B$53 + Settings!$B$4/24) &gt; A220))&gt;0)</f>
        <v>1</v>
      </c>
      <c r="F220">
        <f>--(SUMPRODUCT((Data!$C$2:$C$53="TT2")*((Data!$A$2:$A$53 - Settings!$B$4/24) &lt;= A220)*((Data!$B$2:$B$53 + Settings!$B$4/24) &gt; A220))&gt;0)</f>
        <v>0</v>
      </c>
    </row>
    <row r="221" spans="1:6" ht="15.6" x14ac:dyDescent="0.3">
      <c r="A221" s="1">
        <v>45941.125347222223</v>
      </c>
      <c r="B221">
        <f>--(SUMPRODUCT((Data!$C$2:$C$53="K12C")*((Data!$A$2:$A$53 - Settings!$B$4/24) &lt;= A221)*((Data!$B$2:$B$53 + Settings!$B$4/24) &gt; A221))&gt;0)</f>
        <v>0</v>
      </c>
      <c r="C221">
        <f>--(SUMPRODUCT((Data!$C$2:$C$53="K12A")*((Data!$A$2:$A$53 - Settings!$B$4/24) &lt;= A221)*((Data!$B$2:$B$53 + Settings!$B$4/24) &gt; A221))&gt;0)</f>
        <v>0</v>
      </c>
      <c r="D221">
        <f>--(SUMPRODUCT((Data!$C$2:$C$53="K12")*((Data!$A$2:$A$53 - Settings!$B$4/24) &lt;= A221)*((Data!$B$2:$B$53 + Settings!$B$4/24) &gt; A221))&gt;0)</f>
        <v>0</v>
      </c>
      <c r="E221">
        <f>--(SUMPRODUCT((Data!$C$2:$C$53="K12B")*((Data!$A$2:$A$53 - Settings!$B$4/24) &lt;= A221)*((Data!$B$2:$B$53 + Settings!$B$4/24) &gt; A221))&gt;0)</f>
        <v>1</v>
      </c>
      <c r="F221">
        <f>--(SUMPRODUCT((Data!$C$2:$C$53="TT2")*((Data!$A$2:$A$53 - Settings!$B$4/24) &lt;= A221)*((Data!$B$2:$B$53 + Settings!$B$4/24) &gt; A221))&gt;0)</f>
        <v>0</v>
      </c>
    </row>
    <row r="222" spans="1:6" ht="15.6" x14ac:dyDescent="0.3">
      <c r="A222" s="1">
        <v>45941.167013888888</v>
      </c>
      <c r="B222">
        <f>--(SUMPRODUCT((Data!$C$2:$C$53="K12C")*((Data!$A$2:$A$53 - Settings!$B$4/24) &lt;= A222)*((Data!$B$2:$B$53 + Settings!$B$4/24) &gt; A222))&gt;0)</f>
        <v>0</v>
      </c>
      <c r="C222">
        <f>--(SUMPRODUCT((Data!$C$2:$C$53="K12A")*((Data!$A$2:$A$53 - Settings!$B$4/24) &lt;= A222)*((Data!$B$2:$B$53 + Settings!$B$4/24) &gt; A222))&gt;0)</f>
        <v>0</v>
      </c>
      <c r="D222">
        <f>--(SUMPRODUCT((Data!$C$2:$C$53="K12")*((Data!$A$2:$A$53 - Settings!$B$4/24) &lt;= A222)*((Data!$B$2:$B$53 + Settings!$B$4/24) &gt; A222))&gt;0)</f>
        <v>0</v>
      </c>
      <c r="E222">
        <f>--(SUMPRODUCT((Data!$C$2:$C$53="K12B")*((Data!$A$2:$A$53 - Settings!$B$4/24) &lt;= A222)*((Data!$B$2:$B$53 + Settings!$B$4/24) &gt; A222))&gt;0)</f>
        <v>1</v>
      </c>
      <c r="F222">
        <f>--(SUMPRODUCT((Data!$C$2:$C$53="TT2")*((Data!$A$2:$A$53 - Settings!$B$4/24) &lt;= A222)*((Data!$B$2:$B$53 + Settings!$B$4/24) &gt; A222))&gt;0)</f>
        <v>0</v>
      </c>
    </row>
    <row r="223" spans="1:6" ht="15.6" x14ac:dyDescent="0.3">
      <c r="A223" s="1">
        <v>45941.208680555559</v>
      </c>
      <c r="B223">
        <f>--(SUMPRODUCT((Data!$C$2:$C$53="K12C")*((Data!$A$2:$A$53 - Settings!$B$4/24) &lt;= A223)*((Data!$B$2:$B$53 + Settings!$B$4/24) &gt; A223))&gt;0)</f>
        <v>1</v>
      </c>
      <c r="C223">
        <f>--(SUMPRODUCT((Data!$C$2:$C$53="K12A")*((Data!$A$2:$A$53 - Settings!$B$4/24) &lt;= A223)*((Data!$B$2:$B$53 + Settings!$B$4/24) &gt; A223))&gt;0)</f>
        <v>0</v>
      </c>
      <c r="D223">
        <f>--(SUMPRODUCT((Data!$C$2:$C$53="K12")*((Data!$A$2:$A$53 - Settings!$B$4/24) &lt;= A223)*((Data!$B$2:$B$53 + Settings!$B$4/24) &gt; A223))&gt;0)</f>
        <v>0</v>
      </c>
      <c r="E223">
        <f>--(SUMPRODUCT((Data!$C$2:$C$53="K12B")*((Data!$A$2:$A$53 - Settings!$B$4/24) &lt;= A223)*((Data!$B$2:$B$53 + Settings!$B$4/24) &gt; A223))&gt;0)</f>
        <v>1</v>
      </c>
      <c r="F223">
        <f>--(SUMPRODUCT((Data!$C$2:$C$53="TT2")*((Data!$A$2:$A$53 - Settings!$B$4/24) &lt;= A223)*((Data!$B$2:$B$53 + Settings!$B$4/24) &gt; A223))&gt;0)</f>
        <v>0</v>
      </c>
    </row>
    <row r="224" spans="1:6" ht="15.6" x14ac:dyDescent="0.3">
      <c r="A224" s="1">
        <v>45941.250347222223</v>
      </c>
      <c r="B224">
        <f>--(SUMPRODUCT((Data!$C$2:$C$53="K12C")*((Data!$A$2:$A$53 - Settings!$B$4/24) &lt;= A224)*((Data!$B$2:$B$53 + Settings!$B$4/24) &gt; A224))&gt;0)</f>
        <v>1</v>
      </c>
      <c r="C224">
        <f>--(SUMPRODUCT((Data!$C$2:$C$53="K12A")*((Data!$A$2:$A$53 - Settings!$B$4/24) &lt;= A224)*((Data!$B$2:$B$53 + Settings!$B$4/24) &gt; A224))&gt;0)</f>
        <v>0</v>
      </c>
      <c r="D224">
        <f>--(SUMPRODUCT((Data!$C$2:$C$53="K12")*((Data!$A$2:$A$53 - Settings!$B$4/24) &lt;= A224)*((Data!$B$2:$B$53 + Settings!$B$4/24) &gt; A224))&gt;0)</f>
        <v>0</v>
      </c>
      <c r="E224">
        <f>--(SUMPRODUCT((Data!$C$2:$C$53="K12B")*((Data!$A$2:$A$53 - Settings!$B$4/24) &lt;= A224)*((Data!$B$2:$B$53 + Settings!$B$4/24) &gt; A224))&gt;0)</f>
        <v>1</v>
      </c>
      <c r="F224">
        <f>--(SUMPRODUCT((Data!$C$2:$C$53="TT2")*((Data!$A$2:$A$53 - Settings!$B$4/24) &lt;= A224)*((Data!$B$2:$B$53 + Settings!$B$4/24) &gt; A224))&gt;0)</f>
        <v>0</v>
      </c>
    </row>
    <row r="225" spans="1:6" ht="15.6" x14ac:dyDescent="0.3">
      <c r="A225" s="1">
        <v>45941.292013888888</v>
      </c>
      <c r="B225">
        <f>--(SUMPRODUCT((Data!$C$2:$C$53="K12C")*((Data!$A$2:$A$53 - Settings!$B$4/24) &lt;= A225)*((Data!$B$2:$B$53 + Settings!$B$4/24) &gt; A225))&gt;0)</f>
        <v>1</v>
      </c>
      <c r="C225">
        <f>--(SUMPRODUCT((Data!$C$2:$C$53="K12A")*((Data!$A$2:$A$53 - Settings!$B$4/24) &lt;= A225)*((Data!$B$2:$B$53 + Settings!$B$4/24) &gt; A225))&gt;0)</f>
        <v>0</v>
      </c>
      <c r="D225">
        <f>--(SUMPRODUCT((Data!$C$2:$C$53="K12")*((Data!$A$2:$A$53 - Settings!$B$4/24) &lt;= A225)*((Data!$B$2:$B$53 + Settings!$B$4/24) &gt; A225))&gt;0)</f>
        <v>0</v>
      </c>
      <c r="E225">
        <f>--(SUMPRODUCT((Data!$C$2:$C$53="K12B")*((Data!$A$2:$A$53 - Settings!$B$4/24) &lt;= A225)*((Data!$B$2:$B$53 + Settings!$B$4/24) &gt; A225))&gt;0)</f>
        <v>1</v>
      </c>
      <c r="F225">
        <f>--(SUMPRODUCT((Data!$C$2:$C$53="TT2")*((Data!$A$2:$A$53 - Settings!$B$4/24) &lt;= A225)*((Data!$B$2:$B$53 + Settings!$B$4/24) &gt; A225))&gt;0)</f>
        <v>0</v>
      </c>
    </row>
    <row r="226" spans="1:6" ht="15.6" x14ac:dyDescent="0.3">
      <c r="A226" s="1">
        <v>45941.333680555559</v>
      </c>
      <c r="B226">
        <f>--(SUMPRODUCT((Data!$C$2:$C$53="K12C")*((Data!$A$2:$A$53 - Settings!$B$4/24) &lt;= A226)*((Data!$B$2:$B$53 + Settings!$B$4/24) &gt; A226))&gt;0)</f>
        <v>1</v>
      </c>
      <c r="C226">
        <f>--(SUMPRODUCT((Data!$C$2:$C$53="K12A")*((Data!$A$2:$A$53 - Settings!$B$4/24) &lt;= A226)*((Data!$B$2:$B$53 + Settings!$B$4/24) &gt; A226))&gt;0)</f>
        <v>0</v>
      </c>
      <c r="D226">
        <f>--(SUMPRODUCT((Data!$C$2:$C$53="K12")*((Data!$A$2:$A$53 - Settings!$B$4/24) &lt;= A226)*((Data!$B$2:$B$53 + Settings!$B$4/24) &gt; A226))&gt;0)</f>
        <v>0</v>
      </c>
      <c r="E226">
        <f>--(SUMPRODUCT((Data!$C$2:$C$53="K12B")*((Data!$A$2:$A$53 - Settings!$B$4/24) &lt;= A226)*((Data!$B$2:$B$53 + Settings!$B$4/24) &gt; A226))&gt;0)</f>
        <v>1</v>
      </c>
      <c r="F226">
        <f>--(SUMPRODUCT((Data!$C$2:$C$53="TT2")*((Data!$A$2:$A$53 - Settings!$B$4/24) &lt;= A226)*((Data!$B$2:$B$53 + Settings!$B$4/24) &gt; A226))&gt;0)</f>
        <v>0</v>
      </c>
    </row>
    <row r="227" spans="1:6" ht="15.6" x14ac:dyDescent="0.3">
      <c r="A227" s="1">
        <v>45941.375347222223</v>
      </c>
      <c r="B227">
        <f>--(SUMPRODUCT((Data!$C$2:$C$53="K12C")*((Data!$A$2:$A$53 - Settings!$B$4/24) &lt;= A227)*((Data!$B$2:$B$53 + Settings!$B$4/24) &gt; A227))&gt;0)</f>
        <v>1</v>
      </c>
      <c r="C227">
        <f>--(SUMPRODUCT((Data!$C$2:$C$53="K12A")*((Data!$A$2:$A$53 - Settings!$B$4/24) &lt;= A227)*((Data!$B$2:$B$53 + Settings!$B$4/24) &gt; A227))&gt;0)</f>
        <v>0</v>
      </c>
      <c r="D227">
        <f>--(SUMPRODUCT((Data!$C$2:$C$53="K12")*((Data!$A$2:$A$53 - Settings!$B$4/24) &lt;= A227)*((Data!$B$2:$B$53 + Settings!$B$4/24) &gt; A227))&gt;0)</f>
        <v>0</v>
      </c>
      <c r="E227">
        <f>--(SUMPRODUCT((Data!$C$2:$C$53="K12B")*((Data!$A$2:$A$53 - Settings!$B$4/24) &lt;= A227)*((Data!$B$2:$B$53 + Settings!$B$4/24) &gt; A227))&gt;0)</f>
        <v>1</v>
      </c>
      <c r="F227">
        <f>--(SUMPRODUCT((Data!$C$2:$C$53="TT2")*((Data!$A$2:$A$53 - Settings!$B$4/24) &lt;= A227)*((Data!$B$2:$B$53 + Settings!$B$4/24) &gt; A227))&gt;0)</f>
        <v>0</v>
      </c>
    </row>
    <row r="228" spans="1:6" ht="15.6" x14ac:dyDescent="0.3">
      <c r="A228" s="1">
        <v>45941.417013888888</v>
      </c>
      <c r="B228">
        <f>--(SUMPRODUCT((Data!$C$2:$C$53="K12C")*((Data!$A$2:$A$53 - Settings!$B$4/24) &lt;= A228)*((Data!$B$2:$B$53 + Settings!$B$4/24) &gt; A228))&gt;0)</f>
        <v>1</v>
      </c>
      <c r="C228">
        <f>--(SUMPRODUCT((Data!$C$2:$C$53="K12A")*((Data!$A$2:$A$53 - Settings!$B$4/24) &lt;= A228)*((Data!$B$2:$B$53 + Settings!$B$4/24) &gt; A228))&gt;0)</f>
        <v>0</v>
      </c>
      <c r="D228">
        <f>--(SUMPRODUCT((Data!$C$2:$C$53="K12")*((Data!$A$2:$A$53 - Settings!$B$4/24) &lt;= A228)*((Data!$B$2:$B$53 + Settings!$B$4/24) &gt; A228))&gt;0)</f>
        <v>0</v>
      </c>
      <c r="E228">
        <f>--(SUMPRODUCT((Data!$C$2:$C$53="K12B")*((Data!$A$2:$A$53 - Settings!$B$4/24) &lt;= A228)*((Data!$B$2:$B$53 + Settings!$B$4/24) &gt; A228))&gt;0)</f>
        <v>1</v>
      </c>
      <c r="F228">
        <f>--(SUMPRODUCT((Data!$C$2:$C$53="TT2")*((Data!$A$2:$A$53 - Settings!$B$4/24) &lt;= A228)*((Data!$B$2:$B$53 + Settings!$B$4/24) &gt; A228))&gt;0)</f>
        <v>0</v>
      </c>
    </row>
    <row r="229" spans="1:6" ht="15.6" x14ac:dyDescent="0.3">
      <c r="A229" s="1">
        <v>45941.458680555559</v>
      </c>
      <c r="B229">
        <f>--(SUMPRODUCT((Data!$C$2:$C$53="K12C")*((Data!$A$2:$A$53 - Settings!$B$4/24) &lt;= A229)*((Data!$B$2:$B$53 + Settings!$B$4/24) &gt; A229))&gt;0)</f>
        <v>1</v>
      </c>
      <c r="C229">
        <f>--(SUMPRODUCT((Data!$C$2:$C$53="K12A")*((Data!$A$2:$A$53 - Settings!$B$4/24) &lt;= A229)*((Data!$B$2:$B$53 + Settings!$B$4/24) &gt; A229))&gt;0)</f>
        <v>0</v>
      </c>
      <c r="D229">
        <f>--(SUMPRODUCT((Data!$C$2:$C$53="K12")*((Data!$A$2:$A$53 - Settings!$B$4/24) &lt;= A229)*((Data!$B$2:$B$53 + Settings!$B$4/24) &gt; A229))&gt;0)</f>
        <v>0</v>
      </c>
      <c r="E229">
        <f>--(SUMPRODUCT((Data!$C$2:$C$53="K12B")*((Data!$A$2:$A$53 - Settings!$B$4/24) &lt;= A229)*((Data!$B$2:$B$53 + Settings!$B$4/24) &gt; A229))&gt;0)</f>
        <v>1</v>
      </c>
      <c r="F229">
        <f>--(SUMPRODUCT((Data!$C$2:$C$53="TT2")*((Data!$A$2:$A$53 - Settings!$B$4/24) &lt;= A229)*((Data!$B$2:$B$53 + Settings!$B$4/24) &gt; A229))&gt;0)</f>
        <v>0</v>
      </c>
    </row>
    <row r="230" spans="1:6" ht="15.6" x14ac:dyDescent="0.3">
      <c r="A230" s="1">
        <v>45941.500347222223</v>
      </c>
      <c r="B230">
        <f>--(SUMPRODUCT((Data!$C$2:$C$53="K12C")*((Data!$A$2:$A$53 - Settings!$B$4/24) &lt;= A230)*((Data!$B$2:$B$53 + Settings!$B$4/24) &gt; A230))&gt;0)</f>
        <v>1</v>
      </c>
      <c r="C230">
        <f>--(SUMPRODUCT((Data!$C$2:$C$53="K12A")*((Data!$A$2:$A$53 - Settings!$B$4/24) &lt;= A230)*((Data!$B$2:$B$53 + Settings!$B$4/24) &gt; A230))&gt;0)</f>
        <v>0</v>
      </c>
      <c r="D230">
        <f>--(SUMPRODUCT((Data!$C$2:$C$53="K12")*((Data!$A$2:$A$53 - Settings!$B$4/24) &lt;= A230)*((Data!$B$2:$B$53 + Settings!$B$4/24) &gt; A230))&gt;0)</f>
        <v>0</v>
      </c>
      <c r="E230">
        <f>--(SUMPRODUCT((Data!$C$2:$C$53="K12B")*((Data!$A$2:$A$53 - Settings!$B$4/24) &lt;= A230)*((Data!$B$2:$B$53 + Settings!$B$4/24) &gt; A230))&gt;0)</f>
        <v>1</v>
      </c>
      <c r="F230">
        <f>--(SUMPRODUCT((Data!$C$2:$C$53="TT2")*((Data!$A$2:$A$53 - Settings!$B$4/24) &lt;= A230)*((Data!$B$2:$B$53 + Settings!$B$4/24) &gt; A230))&gt;0)</f>
        <v>0</v>
      </c>
    </row>
    <row r="231" spans="1:6" ht="15.6" x14ac:dyDescent="0.3">
      <c r="A231" s="1">
        <v>45941.542013888888</v>
      </c>
      <c r="B231">
        <f>--(SUMPRODUCT((Data!$C$2:$C$53="K12C")*((Data!$A$2:$A$53 - Settings!$B$4/24) &lt;= A231)*((Data!$B$2:$B$53 + Settings!$B$4/24) &gt; A231))&gt;0)</f>
        <v>1</v>
      </c>
      <c r="C231">
        <f>--(SUMPRODUCT((Data!$C$2:$C$53="K12A")*((Data!$A$2:$A$53 - Settings!$B$4/24) &lt;= A231)*((Data!$B$2:$B$53 + Settings!$B$4/24) &gt; A231))&gt;0)</f>
        <v>0</v>
      </c>
      <c r="D231">
        <f>--(SUMPRODUCT((Data!$C$2:$C$53="K12")*((Data!$A$2:$A$53 - Settings!$B$4/24) &lt;= A231)*((Data!$B$2:$B$53 + Settings!$B$4/24) &gt; A231))&gt;0)</f>
        <v>0</v>
      </c>
      <c r="E231">
        <f>--(SUMPRODUCT((Data!$C$2:$C$53="K12B")*((Data!$A$2:$A$53 - Settings!$B$4/24) &lt;= A231)*((Data!$B$2:$B$53 + Settings!$B$4/24) &gt; A231))&gt;0)</f>
        <v>1</v>
      </c>
      <c r="F231">
        <f>--(SUMPRODUCT((Data!$C$2:$C$53="TT2")*((Data!$A$2:$A$53 - Settings!$B$4/24) &lt;= A231)*((Data!$B$2:$B$53 + Settings!$B$4/24) &gt; A231))&gt;0)</f>
        <v>0</v>
      </c>
    </row>
    <row r="232" spans="1:6" ht="15.6" x14ac:dyDescent="0.3">
      <c r="A232" s="1">
        <v>45941.583680555559</v>
      </c>
      <c r="B232">
        <f>--(SUMPRODUCT((Data!$C$2:$C$53="K12C")*((Data!$A$2:$A$53 - Settings!$B$4/24) &lt;= A232)*((Data!$B$2:$B$53 + Settings!$B$4/24) &gt; A232))&gt;0)</f>
        <v>1</v>
      </c>
      <c r="C232">
        <f>--(SUMPRODUCT((Data!$C$2:$C$53="K12A")*((Data!$A$2:$A$53 - Settings!$B$4/24) &lt;= A232)*((Data!$B$2:$B$53 + Settings!$B$4/24) &gt; A232))&gt;0)</f>
        <v>0</v>
      </c>
      <c r="D232">
        <f>--(SUMPRODUCT((Data!$C$2:$C$53="K12")*((Data!$A$2:$A$53 - Settings!$B$4/24) &lt;= A232)*((Data!$B$2:$B$53 + Settings!$B$4/24) &gt; A232))&gt;0)</f>
        <v>0</v>
      </c>
      <c r="E232">
        <f>--(SUMPRODUCT((Data!$C$2:$C$53="K12B")*((Data!$A$2:$A$53 - Settings!$B$4/24) &lt;= A232)*((Data!$B$2:$B$53 + Settings!$B$4/24) &gt; A232))&gt;0)</f>
        <v>1</v>
      </c>
      <c r="F232">
        <f>--(SUMPRODUCT((Data!$C$2:$C$53="TT2")*((Data!$A$2:$A$53 - Settings!$B$4/24) &lt;= A232)*((Data!$B$2:$B$53 + Settings!$B$4/24) &gt; A232))&gt;0)</f>
        <v>1</v>
      </c>
    </row>
    <row r="233" spans="1:6" ht="15.6" x14ac:dyDescent="0.3">
      <c r="A233" s="1">
        <v>45941.625347222223</v>
      </c>
      <c r="B233">
        <f>--(SUMPRODUCT((Data!$C$2:$C$53="K12C")*((Data!$A$2:$A$53 - Settings!$B$4/24) &lt;= A233)*((Data!$B$2:$B$53 + Settings!$B$4/24) &gt; A233))&gt;0)</f>
        <v>1</v>
      </c>
      <c r="C233">
        <f>--(SUMPRODUCT((Data!$C$2:$C$53="K12A")*((Data!$A$2:$A$53 - Settings!$B$4/24) &lt;= A233)*((Data!$B$2:$B$53 + Settings!$B$4/24) &gt; A233))&gt;0)</f>
        <v>0</v>
      </c>
      <c r="D233">
        <f>--(SUMPRODUCT((Data!$C$2:$C$53="K12")*((Data!$A$2:$A$53 - Settings!$B$4/24) &lt;= A233)*((Data!$B$2:$B$53 + Settings!$B$4/24) &gt; A233))&gt;0)</f>
        <v>0</v>
      </c>
      <c r="E233">
        <f>--(SUMPRODUCT((Data!$C$2:$C$53="K12B")*((Data!$A$2:$A$53 - Settings!$B$4/24) &lt;= A233)*((Data!$B$2:$B$53 + Settings!$B$4/24) &gt; A233))&gt;0)</f>
        <v>1</v>
      </c>
      <c r="F233">
        <f>--(SUMPRODUCT((Data!$C$2:$C$53="TT2")*((Data!$A$2:$A$53 - Settings!$B$4/24) &lt;= A233)*((Data!$B$2:$B$53 + Settings!$B$4/24) &gt; A233))&gt;0)</f>
        <v>1</v>
      </c>
    </row>
    <row r="234" spans="1:6" ht="15.6" x14ac:dyDescent="0.3">
      <c r="A234" s="1">
        <v>45941.667013888888</v>
      </c>
      <c r="B234">
        <f>--(SUMPRODUCT((Data!$C$2:$C$53="K12C")*((Data!$A$2:$A$53 - Settings!$B$4/24) &lt;= A234)*((Data!$B$2:$B$53 + Settings!$B$4/24) &gt; A234))&gt;0)</f>
        <v>1</v>
      </c>
      <c r="C234">
        <f>--(SUMPRODUCT((Data!$C$2:$C$53="K12A")*((Data!$A$2:$A$53 - Settings!$B$4/24) &lt;= A234)*((Data!$B$2:$B$53 + Settings!$B$4/24) &gt; A234))&gt;0)</f>
        <v>0</v>
      </c>
      <c r="D234">
        <f>--(SUMPRODUCT((Data!$C$2:$C$53="K12")*((Data!$A$2:$A$53 - Settings!$B$4/24) &lt;= A234)*((Data!$B$2:$B$53 + Settings!$B$4/24) &gt; A234))&gt;0)</f>
        <v>0</v>
      </c>
      <c r="E234">
        <f>--(SUMPRODUCT((Data!$C$2:$C$53="K12B")*((Data!$A$2:$A$53 - Settings!$B$4/24) &lt;= A234)*((Data!$B$2:$B$53 + Settings!$B$4/24) &gt; A234))&gt;0)</f>
        <v>1</v>
      </c>
      <c r="F234">
        <f>--(SUMPRODUCT((Data!$C$2:$C$53="TT2")*((Data!$A$2:$A$53 - Settings!$B$4/24) &lt;= A234)*((Data!$B$2:$B$53 + Settings!$B$4/24) &gt; A234))&gt;0)</f>
        <v>1</v>
      </c>
    </row>
    <row r="235" spans="1:6" ht="15.6" x14ac:dyDescent="0.3">
      <c r="A235" s="1">
        <v>45941.708680555559</v>
      </c>
      <c r="B235">
        <f>--(SUMPRODUCT((Data!$C$2:$C$53="K12C")*((Data!$A$2:$A$53 - Settings!$B$4/24) &lt;= A235)*((Data!$B$2:$B$53 + Settings!$B$4/24) &gt; A235))&gt;0)</f>
        <v>1</v>
      </c>
      <c r="C235">
        <f>--(SUMPRODUCT((Data!$C$2:$C$53="K12A")*((Data!$A$2:$A$53 - Settings!$B$4/24) &lt;= A235)*((Data!$B$2:$B$53 + Settings!$B$4/24) &gt; A235))&gt;0)</f>
        <v>0</v>
      </c>
      <c r="D235">
        <f>--(SUMPRODUCT((Data!$C$2:$C$53="K12")*((Data!$A$2:$A$53 - Settings!$B$4/24) &lt;= A235)*((Data!$B$2:$B$53 + Settings!$B$4/24) &gt; A235))&gt;0)</f>
        <v>0</v>
      </c>
      <c r="E235">
        <f>--(SUMPRODUCT((Data!$C$2:$C$53="K12B")*((Data!$A$2:$A$53 - Settings!$B$4/24) &lt;= A235)*((Data!$B$2:$B$53 + Settings!$B$4/24) &gt; A235))&gt;0)</f>
        <v>1</v>
      </c>
      <c r="F235">
        <f>--(SUMPRODUCT((Data!$C$2:$C$53="TT2")*((Data!$A$2:$A$53 - Settings!$B$4/24) &lt;= A235)*((Data!$B$2:$B$53 + Settings!$B$4/24) &gt; A235))&gt;0)</f>
        <v>1</v>
      </c>
    </row>
    <row r="236" spans="1:6" ht="15.6" x14ac:dyDescent="0.3">
      <c r="A236" s="1">
        <v>45941.750347222223</v>
      </c>
      <c r="B236">
        <f>--(SUMPRODUCT((Data!$C$2:$C$53="K12C")*((Data!$A$2:$A$53 - Settings!$B$4/24) &lt;= A236)*((Data!$B$2:$B$53 + Settings!$B$4/24) &gt; A236))&gt;0)</f>
        <v>1</v>
      </c>
      <c r="C236">
        <f>--(SUMPRODUCT((Data!$C$2:$C$53="K12A")*((Data!$A$2:$A$53 - Settings!$B$4/24) &lt;= A236)*((Data!$B$2:$B$53 + Settings!$B$4/24) &gt; A236))&gt;0)</f>
        <v>1</v>
      </c>
      <c r="D236">
        <f>--(SUMPRODUCT((Data!$C$2:$C$53="K12")*((Data!$A$2:$A$53 - Settings!$B$4/24) &lt;= A236)*((Data!$B$2:$B$53 + Settings!$B$4/24) &gt; A236))&gt;0)</f>
        <v>0</v>
      </c>
      <c r="E236">
        <f>--(SUMPRODUCT((Data!$C$2:$C$53="K12B")*((Data!$A$2:$A$53 - Settings!$B$4/24) &lt;= A236)*((Data!$B$2:$B$53 + Settings!$B$4/24) &gt; A236))&gt;0)</f>
        <v>1</v>
      </c>
      <c r="F236">
        <f>--(SUMPRODUCT((Data!$C$2:$C$53="TT2")*((Data!$A$2:$A$53 - Settings!$B$4/24) &lt;= A236)*((Data!$B$2:$B$53 + Settings!$B$4/24) &gt; A236))&gt;0)</f>
        <v>1</v>
      </c>
    </row>
    <row r="237" spans="1:6" ht="15.6" x14ac:dyDescent="0.3">
      <c r="A237" s="1">
        <v>45941.792013888888</v>
      </c>
      <c r="B237">
        <f>--(SUMPRODUCT((Data!$C$2:$C$53="K12C")*((Data!$A$2:$A$53 - Settings!$B$4/24) &lt;= A237)*((Data!$B$2:$B$53 + Settings!$B$4/24) &gt; A237))&gt;0)</f>
        <v>1</v>
      </c>
      <c r="C237">
        <f>--(SUMPRODUCT((Data!$C$2:$C$53="K12A")*((Data!$A$2:$A$53 - Settings!$B$4/24) &lt;= A237)*((Data!$B$2:$B$53 + Settings!$B$4/24) &gt; A237))&gt;0)</f>
        <v>1</v>
      </c>
      <c r="D237">
        <f>--(SUMPRODUCT((Data!$C$2:$C$53="K12")*((Data!$A$2:$A$53 - Settings!$B$4/24) &lt;= A237)*((Data!$B$2:$B$53 + Settings!$B$4/24) &gt; A237))&gt;0)</f>
        <v>0</v>
      </c>
      <c r="E237">
        <f>--(SUMPRODUCT((Data!$C$2:$C$53="K12B")*((Data!$A$2:$A$53 - Settings!$B$4/24) &lt;= A237)*((Data!$B$2:$B$53 + Settings!$B$4/24) &gt; A237))&gt;0)</f>
        <v>1</v>
      </c>
      <c r="F237">
        <f>--(SUMPRODUCT((Data!$C$2:$C$53="TT2")*((Data!$A$2:$A$53 - Settings!$B$4/24) &lt;= A237)*((Data!$B$2:$B$53 + Settings!$B$4/24) &gt; A237))&gt;0)</f>
        <v>1</v>
      </c>
    </row>
    <row r="238" spans="1:6" ht="15.6" x14ac:dyDescent="0.3">
      <c r="A238" s="1">
        <v>45941.833680555559</v>
      </c>
      <c r="B238">
        <f>--(SUMPRODUCT((Data!$C$2:$C$53="K12C")*((Data!$A$2:$A$53 - Settings!$B$4/24) &lt;= A238)*((Data!$B$2:$B$53 + Settings!$B$4/24) &gt; A238))&gt;0)</f>
        <v>1</v>
      </c>
      <c r="C238">
        <f>--(SUMPRODUCT((Data!$C$2:$C$53="K12A")*((Data!$A$2:$A$53 - Settings!$B$4/24) &lt;= A238)*((Data!$B$2:$B$53 + Settings!$B$4/24) &gt; A238))&gt;0)</f>
        <v>1</v>
      </c>
      <c r="D238">
        <f>--(SUMPRODUCT((Data!$C$2:$C$53="K12")*((Data!$A$2:$A$53 - Settings!$B$4/24) &lt;= A238)*((Data!$B$2:$B$53 + Settings!$B$4/24) &gt; A238))&gt;0)</f>
        <v>0</v>
      </c>
      <c r="E238">
        <f>--(SUMPRODUCT((Data!$C$2:$C$53="K12B")*((Data!$A$2:$A$53 - Settings!$B$4/24) &lt;= A238)*((Data!$B$2:$B$53 + Settings!$B$4/24) &gt; A238))&gt;0)</f>
        <v>1</v>
      </c>
      <c r="F238">
        <f>--(SUMPRODUCT((Data!$C$2:$C$53="TT2")*((Data!$A$2:$A$53 - Settings!$B$4/24) &lt;= A238)*((Data!$B$2:$B$53 + Settings!$B$4/24) &gt; A238))&gt;0)</f>
        <v>1</v>
      </c>
    </row>
    <row r="239" spans="1:6" ht="15.6" x14ac:dyDescent="0.3">
      <c r="A239" s="1">
        <v>45941.875347222223</v>
      </c>
      <c r="B239">
        <f>--(SUMPRODUCT((Data!$C$2:$C$53="K12C")*((Data!$A$2:$A$53 - Settings!$B$4/24) &lt;= A239)*((Data!$B$2:$B$53 + Settings!$B$4/24) &gt; A239))&gt;0)</f>
        <v>1</v>
      </c>
      <c r="C239">
        <f>--(SUMPRODUCT((Data!$C$2:$C$53="K12A")*((Data!$A$2:$A$53 - Settings!$B$4/24) &lt;= A239)*((Data!$B$2:$B$53 + Settings!$B$4/24) &gt; A239))&gt;0)</f>
        <v>1</v>
      </c>
      <c r="D239">
        <f>--(SUMPRODUCT((Data!$C$2:$C$53="K12")*((Data!$A$2:$A$53 - Settings!$B$4/24) &lt;= A239)*((Data!$B$2:$B$53 + Settings!$B$4/24) &gt; A239))&gt;0)</f>
        <v>0</v>
      </c>
      <c r="E239">
        <f>--(SUMPRODUCT((Data!$C$2:$C$53="K12B")*((Data!$A$2:$A$53 - Settings!$B$4/24) &lt;= A239)*((Data!$B$2:$B$53 + Settings!$B$4/24) &gt; A239))&gt;0)</f>
        <v>1</v>
      </c>
      <c r="F239">
        <f>--(SUMPRODUCT((Data!$C$2:$C$53="TT2")*((Data!$A$2:$A$53 - Settings!$B$4/24) &lt;= A239)*((Data!$B$2:$B$53 + Settings!$B$4/24) &gt; A239))&gt;0)</f>
        <v>1</v>
      </c>
    </row>
    <row r="240" spans="1:6" ht="15.6" x14ac:dyDescent="0.3">
      <c r="A240" s="1">
        <v>45941.917013888888</v>
      </c>
      <c r="B240">
        <f>--(SUMPRODUCT((Data!$C$2:$C$53="K12C")*((Data!$A$2:$A$53 - Settings!$B$4/24) &lt;= A240)*((Data!$B$2:$B$53 + Settings!$B$4/24) &gt; A240))&gt;0)</f>
        <v>1</v>
      </c>
      <c r="C240">
        <f>--(SUMPRODUCT((Data!$C$2:$C$53="K12A")*((Data!$A$2:$A$53 - Settings!$B$4/24) &lt;= A240)*((Data!$B$2:$B$53 + Settings!$B$4/24) &gt; A240))&gt;0)</f>
        <v>1</v>
      </c>
      <c r="D240">
        <f>--(SUMPRODUCT((Data!$C$2:$C$53="K12")*((Data!$A$2:$A$53 - Settings!$B$4/24) &lt;= A240)*((Data!$B$2:$B$53 + Settings!$B$4/24) &gt; A240))&gt;0)</f>
        <v>0</v>
      </c>
      <c r="E240">
        <f>--(SUMPRODUCT((Data!$C$2:$C$53="K12B")*((Data!$A$2:$A$53 - Settings!$B$4/24) &lt;= A240)*((Data!$B$2:$B$53 + Settings!$B$4/24) &gt; A240))&gt;0)</f>
        <v>1</v>
      </c>
      <c r="F240">
        <f>--(SUMPRODUCT((Data!$C$2:$C$53="TT2")*((Data!$A$2:$A$53 - Settings!$B$4/24) &lt;= A240)*((Data!$B$2:$B$53 + Settings!$B$4/24) &gt; A240))&gt;0)</f>
        <v>1</v>
      </c>
    </row>
    <row r="241" spans="1:6" ht="15.6" x14ac:dyDescent="0.3">
      <c r="A241" s="1">
        <v>45941.958680555559</v>
      </c>
      <c r="B241">
        <f>--(SUMPRODUCT((Data!$C$2:$C$53="K12C")*((Data!$A$2:$A$53 - Settings!$B$4/24) &lt;= A241)*((Data!$B$2:$B$53 + Settings!$B$4/24) &gt; A241))&gt;0)</f>
        <v>1</v>
      </c>
      <c r="C241">
        <f>--(SUMPRODUCT((Data!$C$2:$C$53="K12A")*((Data!$A$2:$A$53 - Settings!$B$4/24) &lt;= A241)*((Data!$B$2:$B$53 + Settings!$B$4/24) &gt; A241))&gt;0)</f>
        <v>1</v>
      </c>
      <c r="D241">
        <f>--(SUMPRODUCT((Data!$C$2:$C$53="K12")*((Data!$A$2:$A$53 - Settings!$B$4/24) &lt;= A241)*((Data!$B$2:$B$53 + Settings!$B$4/24) &gt; A241))&gt;0)</f>
        <v>0</v>
      </c>
      <c r="E241">
        <f>--(SUMPRODUCT((Data!$C$2:$C$53="K12B")*((Data!$A$2:$A$53 - Settings!$B$4/24) &lt;= A241)*((Data!$B$2:$B$53 + Settings!$B$4/24) &gt; A241))&gt;0)</f>
        <v>1</v>
      </c>
      <c r="F241">
        <f>--(SUMPRODUCT((Data!$C$2:$C$53="TT2")*((Data!$A$2:$A$53 - Settings!$B$4/24) &lt;= A241)*((Data!$B$2:$B$53 + Settings!$B$4/24) &gt; A241))&gt;0)</f>
        <v>1</v>
      </c>
    </row>
    <row r="242" spans="1:6" ht="15.6" x14ac:dyDescent="0.3">
      <c r="A242" s="1">
        <v>45942.000347222223</v>
      </c>
      <c r="B242">
        <f>--(SUMPRODUCT((Data!$C$2:$C$53="K12C")*((Data!$A$2:$A$53 - Settings!$B$4/24) &lt;= A242)*((Data!$B$2:$B$53 + Settings!$B$4/24) &gt; A242))&gt;0)</f>
        <v>1</v>
      </c>
      <c r="C242">
        <f>--(SUMPRODUCT((Data!$C$2:$C$53="K12A")*((Data!$A$2:$A$53 - Settings!$B$4/24) &lt;= A242)*((Data!$B$2:$B$53 + Settings!$B$4/24) &gt; A242))&gt;0)</f>
        <v>1</v>
      </c>
      <c r="D242">
        <f>--(SUMPRODUCT((Data!$C$2:$C$53="K12")*((Data!$A$2:$A$53 - Settings!$B$4/24) &lt;= A242)*((Data!$B$2:$B$53 + Settings!$B$4/24) &gt; A242))&gt;0)</f>
        <v>0</v>
      </c>
      <c r="E242">
        <f>--(SUMPRODUCT((Data!$C$2:$C$53="K12B")*((Data!$A$2:$A$53 - Settings!$B$4/24) &lt;= A242)*((Data!$B$2:$B$53 + Settings!$B$4/24) &gt; A242))&gt;0)</f>
        <v>1</v>
      </c>
      <c r="F242">
        <f>--(SUMPRODUCT((Data!$C$2:$C$53="TT2")*((Data!$A$2:$A$53 - Settings!$B$4/24) &lt;= A242)*((Data!$B$2:$B$53 + Settings!$B$4/24) &gt; A242))&gt;0)</f>
        <v>1</v>
      </c>
    </row>
    <row r="243" spans="1:6" ht="15.6" x14ac:dyDescent="0.3">
      <c r="A243" s="1">
        <v>45942.042013888888</v>
      </c>
      <c r="B243">
        <f>--(SUMPRODUCT((Data!$C$2:$C$53="K12C")*((Data!$A$2:$A$53 - Settings!$B$4/24) &lt;= A243)*((Data!$B$2:$B$53 + Settings!$B$4/24) &gt; A243))&gt;0)</f>
        <v>1</v>
      </c>
      <c r="C243">
        <f>--(SUMPRODUCT((Data!$C$2:$C$53="K12A")*((Data!$A$2:$A$53 - Settings!$B$4/24) &lt;= A243)*((Data!$B$2:$B$53 + Settings!$B$4/24) &gt; A243))&gt;0)</f>
        <v>1</v>
      </c>
      <c r="D243">
        <f>--(SUMPRODUCT((Data!$C$2:$C$53="K12")*((Data!$A$2:$A$53 - Settings!$B$4/24) &lt;= A243)*((Data!$B$2:$B$53 + Settings!$B$4/24) &gt; A243))&gt;0)</f>
        <v>0</v>
      </c>
      <c r="E243">
        <f>--(SUMPRODUCT((Data!$C$2:$C$53="K12B")*((Data!$A$2:$A$53 - Settings!$B$4/24) &lt;= A243)*((Data!$B$2:$B$53 + Settings!$B$4/24) &gt; A243))&gt;0)</f>
        <v>1</v>
      </c>
      <c r="F243">
        <f>--(SUMPRODUCT((Data!$C$2:$C$53="TT2")*((Data!$A$2:$A$53 - Settings!$B$4/24) &lt;= A243)*((Data!$B$2:$B$53 + Settings!$B$4/24) &gt; A243))&gt;0)</f>
        <v>1</v>
      </c>
    </row>
    <row r="244" spans="1:6" ht="15.6" x14ac:dyDescent="0.3">
      <c r="A244" s="1">
        <v>45942.083680555559</v>
      </c>
      <c r="B244">
        <f>--(SUMPRODUCT((Data!$C$2:$C$53="K12C")*((Data!$A$2:$A$53 - Settings!$B$4/24) &lt;= A244)*((Data!$B$2:$B$53 + Settings!$B$4/24) &gt; A244))&gt;0)</f>
        <v>1</v>
      </c>
      <c r="C244">
        <f>--(SUMPRODUCT((Data!$C$2:$C$53="K12A")*((Data!$A$2:$A$53 - Settings!$B$4/24) &lt;= A244)*((Data!$B$2:$B$53 + Settings!$B$4/24) &gt; A244))&gt;0)</f>
        <v>1</v>
      </c>
      <c r="D244">
        <f>--(SUMPRODUCT((Data!$C$2:$C$53="K12")*((Data!$A$2:$A$53 - Settings!$B$4/24) &lt;= A244)*((Data!$B$2:$B$53 + Settings!$B$4/24) &gt; A244))&gt;0)</f>
        <v>0</v>
      </c>
      <c r="E244">
        <f>--(SUMPRODUCT((Data!$C$2:$C$53="K12B")*((Data!$A$2:$A$53 - Settings!$B$4/24) &lt;= A244)*((Data!$B$2:$B$53 + Settings!$B$4/24) &gt; A244))&gt;0)</f>
        <v>1</v>
      </c>
      <c r="F244">
        <f>--(SUMPRODUCT((Data!$C$2:$C$53="TT2")*((Data!$A$2:$A$53 - Settings!$B$4/24) &lt;= A244)*((Data!$B$2:$B$53 + Settings!$B$4/24) &gt; A244))&gt;0)</f>
        <v>1</v>
      </c>
    </row>
    <row r="245" spans="1:6" ht="15.6" x14ac:dyDescent="0.3">
      <c r="A245" s="1">
        <v>45942.125347222223</v>
      </c>
      <c r="B245">
        <f>--(SUMPRODUCT((Data!$C$2:$C$53="K12C")*((Data!$A$2:$A$53 - Settings!$B$4/24) &lt;= A245)*((Data!$B$2:$B$53 + Settings!$B$4/24) &gt; A245))&gt;0)</f>
        <v>1</v>
      </c>
      <c r="C245">
        <f>--(SUMPRODUCT((Data!$C$2:$C$53="K12A")*((Data!$A$2:$A$53 - Settings!$B$4/24) &lt;= A245)*((Data!$B$2:$B$53 + Settings!$B$4/24) &gt; A245))&gt;0)</f>
        <v>1</v>
      </c>
      <c r="D245">
        <f>--(SUMPRODUCT((Data!$C$2:$C$53="K12")*((Data!$A$2:$A$53 - Settings!$B$4/24) &lt;= A245)*((Data!$B$2:$B$53 + Settings!$B$4/24) &gt; A245))&gt;0)</f>
        <v>0</v>
      </c>
      <c r="E245">
        <f>--(SUMPRODUCT((Data!$C$2:$C$53="K12B")*((Data!$A$2:$A$53 - Settings!$B$4/24) &lt;= A245)*((Data!$B$2:$B$53 + Settings!$B$4/24) &gt; A245))&gt;0)</f>
        <v>1</v>
      </c>
      <c r="F245">
        <f>--(SUMPRODUCT((Data!$C$2:$C$53="TT2")*((Data!$A$2:$A$53 - Settings!$B$4/24) &lt;= A245)*((Data!$B$2:$B$53 + Settings!$B$4/24) &gt; A245))&gt;0)</f>
        <v>1</v>
      </c>
    </row>
    <row r="246" spans="1:6" ht="15.6" x14ac:dyDescent="0.3">
      <c r="A246" s="1">
        <v>45942.167013888888</v>
      </c>
      <c r="B246">
        <f>--(SUMPRODUCT((Data!$C$2:$C$53="K12C")*((Data!$A$2:$A$53 - Settings!$B$4/24) &lt;= A246)*((Data!$B$2:$B$53 + Settings!$B$4/24) &gt; A246))&gt;0)</f>
        <v>1</v>
      </c>
      <c r="C246">
        <f>--(SUMPRODUCT((Data!$C$2:$C$53="K12A")*((Data!$A$2:$A$53 - Settings!$B$4/24) &lt;= A246)*((Data!$B$2:$B$53 + Settings!$B$4/24) &gt; A246))&gt;0)</f>
        <v>1</v>
      </c>
      <c r="D246">
        <f>--(SUMPRODUCT((Data!$C$2:$C$53="K12")*((Data!$A$2:$A$53 - Settings!$B$4/24) &lt;= A246)*((Data!$B$2:$B$53 + Settings!$B$4/24) &gt; A246))&gt;0)</f>
        <v>0</v>
      </c>
      <c r="E246">
        <f>--(SUMPRODUCT((Data!$C$2:$C$53="K12B")*((Data!$A$2:$A$53 - Settings!$B$4/24) &lt;= A246)*((Data!$B$2:$B$53 + Settings!$B$4/24) &gt; A246))&gt;0)</f>
        <v>1</v>
      </c>
      <c r="F246">
        <f>--(SUMPRODUCT((Data!$C$2:$C$53="TT2")*((Data!$A$2:$A$53 - Settings!$B$4/24) &lt;= A246)*((Data!$B$2:$B$53 + Settings!$B$4/24) &gt; A246))&gt;0)</f>
        <v>1</v>
      </c>
    </row>
    <row r="247" spans="1:6" ht="15.6" x14ac:dyDescent="0.3">
      <c r="A247" s="1">
        <v>45942.208680555559</v>
      </c>
      <c r="B247">
        <f>--(SUMPRODUCT((Data!$C$2:$C$53="K12C")*((Data!$A$2:$A$53 - Settings!$B$4/24) &lt;= A247)*((Data!$B$2:$B$53 + Settings!$B$4/24) &gt; A247))&gt;0)</f>
        <v>1</v>
      </c>
      <c r="C247">
        <f>--(SUMPRODUCT((Data!$C$2:$C$53="K12A")*((Data!$A$2:$A$53 - Settings!$B$4/24) &lt;= A247)*((Data!$B$2:$B$53 + Settings!$B$4/24) &gt; A247))&gt;0)</f>
        <v>0</v>
      </c>
      <c r="D247">
        <f>--(SUMPRODUCT((Data!$C$2:$C$53="K12")*((Data!$A$2:$A$53 - Settings!$B$4/24) &lt;= A247)*((Data!$B$2:$B$53 + Settings!$B$4/24) &gt; A247))&gt;0)</f>
        <v>0</v>
      </c>
      <c r="E247">
        <f>--(SUMPRODUCT((Data!$C$2:$C$53="K12B")*((Data!$A$2:$A$53 - Settings!$B$4/24) &lt;= A247)*((Data!$B$2:$B$53 + Settings!$B$4/24) &gt; A247))&gt;0)</f>
        <v>1</v>
      </c>
      <c r="F247">
        <f>--(SUMPRODUCT((Data!$C$2:$C$53="TT2")*((Data!$A$2:$A$53 - Settings!$B$4/24) &lt;= A247)*((Data!$B$2:$B$53 + Settings!$B$4/24) &gt; A247))&gt;0)</f>
        <v>1</v>
      </c>
    </row>
    <row r="248" spans="1:6" ht="15.6" x14ac:dyDescent="0.3">
      <c r="A248" s="1">
        <v>45942.250347222223</v>
      </c>
      <c r="B248">
        <f>--(SUMPRODUCT((Data!$C$2:$C$53="K12C")*((Data!$A$2:$A$53 - Settings!$B$4/24) &lt;= A248)*((Data!$B$2:$B$53 + Settings!$B$4/24) &gt; A248))&gt;0)</f>
        <v>1</v>
      </c>
      <c r="C248">
        <f>--(SUMPRODUCT((Data!$C$2:$C$53="K12A")*((Data!$A$2:$A$53 - Settings!$B$4/24) &lt;= A248)*((Data!$B$2:$B$53 + Settings!$B$4/24) &gt; A248))&gt;0)</f>
        <v>0</v>
      </c>
      <c r="D248">
        <f>--(SUMPRODUCT((Data!$C$2:$C$53="K12")*((Data!$A$2:$A$53 - Settings!$B$4/24) &lt;= A248)*((Data!$B$2:$B$53 + Settings!$B$4/24) &gt; A248))&gt;0)</f>
        <v>0</v>
      </c>
      <c r="E248">
        <f>--(SUMPRODUCT((Data!$C$2:$C$53="K12B")*((Data!$A$2:$A$53 - Settings!$B$4/24) &lt;= A248)*((Data!$B$2:$B$53 + Settings!$B$4/24) &gt; A248))&gt;0)</f>
        <v>0</v>
      </c>
      <c r="F248">
        <f>--(SUMPRODUCT((Data!$C$2:$C$53="TT2")*((Data!$A$2:$A$53 - Settings!$B$4/24) &lt;= A248)*((Data!$B$2:$B$53 + Settings!$B$4/24) &gt; A248))&gt;0)</f>
        <v>1</v>
      </c>
    </row>
    <row r="249" spans="1:6" ht="15.6" x14ac:dyDescent="0.3">
      <c r="A249" s="1">
        <v>45942.292013888888</v>
      </c>
      <c r="B249">
        <f>--(SUMPRODUCT((Data!$C$2:$C$53="K12C")*((Data!$A$2:$A$53 - Settings!$B$4/24) &lt;= A249)*((Data!$B$2:$B$53 + Settings!$B$4/24) &gt; A249))&gt;0)</f>
        <v>1</v>
      </c>
      <c r="C249">
        <f>--(SUMPRODUCT((Data!$C$2:$C$53="K12A")*((Data!$A$2:$A$53 - Settings!$B$4/24) &lt;= A249)*((Data!$B$2:$B$53 + Settings!$B$4/24) &gt; A249))&gt;0)</f>
        <v>0</v>
      </c>
      <c r="D249">
        <f>--(SUMPRODUCT((Data!$C$2:$C$53="K12")*((Data!$A$2:$A$53 - Settings!$B$4/24) &lt;= A249)*((Data!$B$2:$B$53 + Settings!$B$4/24) &gt; A249))&gt;0)</f>
        <v>0</v>
      </c>
      <c r="E249">
        <f>--(SUMPRODUCT((Data!$C$2:$C$53="K12B")*((Data!$A$2:$A$53 - Settings!$B$4/24) &lt;= A249)*((Data!$B$2:$B$53 + Settings!$B$4/24) &gt; A249))&gt;0)</f>
        <v>0</v>
      </c>
      <c r="F249">
        <f>--(SUMPRODUCT((Data!$C$2:$C$53="TT2")*((Data!$A$2:$A$53 - Settings!$B$4/24) &lt;= A249)*((Data!$B$2:$B$53 + Settings!$B$4/24) &gt; A249))&gt;0)</f>
        <v>1</v>
      </c>
    </row>
    <row r="250" spans="1:6" ht="15.6" x14ac:dyDescent="0.3">
      <c r="A250" s="1">
        <v>45942.333680555559</v>
      </c>
      <c r="B250">
        <f>--(SUMPRODUCT((Data!$C$2:$C$53="K12C")*((Data!$A$2:$A$53 - Settings!$B$4/24) &lt;= A250)*((Data!$B$2:$B$53 + Settings!$B$4/24) &gt; A250))&gt;0)</f>
        <v>1</v>
      </c>
      <c r="C250">
        <f>--(SUMPRODUCT((Data!$C$2:$C$53="K12A")*((Data!$A$2:$A$53 - Settings!$B$4/24) &lt;= A250)*((Data!$B$2:$B$53 + Settings!$B$4/24) &gt; A250))&gt;0)</f>
        <v>0</v>
      </c>
      <c r="D250">
        <f>--(SUMPRODUCT((Data!$C$2:$C$53="K12")*((Data!$A$2:$A$53 - Settings!$B$4/24) &lt;= A250)*((Data!$B$2:$B$53 + Settings!$B$4/24) &gt; A250))&gt;0)</f>
        <v>1</v>
      </c>
      <c r="E250">
        <f>--(SUMPRODUCT((Data!$C$2:$C$53="K12B")*((Data!$A$2:$A$53 - Settings!$B$4/24) &lt;= A250)*((Data!$B$2:$B$53 + Settings!$B$4/24) &gt; A250))&gt;0)</f>
        <v>0</v>
      </c>
      <c r="F250">
        <f>--(SUMPRODUCT((Data!$C$2:$C$53="TT2")*((Data!$A$2:$A$53 - Settings!$B$4/24) &lt;= A250)*((Data!$B$2:$B$53 + Settings!$B$4/24) &gt; A250))&gt;0)</f>
        <v>1</v>
      </c>
    </row>
    <row r="251" spans="1:6" ht="15.6" x14ac:dyDescent="0.3">
      <c r="A251" s="1">
        <v>45942.375347222223</v>
      </c>
      <c r="B251">
        <f>--(SUMPRODUCT((Data!$C$2:$C$53="K12C")*((Data!$A$2:$A$53 - Settings!$B$4/24) &lt;= A251)*((Data!$B$2:$B$53 + Settings!$B$4/24) &gt; A251))&gt;0)</f>
        <v>1</v>
      </c>
      <c r="C251">
        <f>--(SUMPRODUCT((Data!$C$2:$C$53="K12A")*((Data!$A$2:$A$53 - Settings!$B$4/24) &lt;= A251)*((Data!$B$2:$B$53 + Settings!$B$4/24) &gt; A251))&gt;0)</f>
        <v>0</v>
      </c>
      <c r="D251">
        <f>--(SUMPRODUCT((Data!$C$2:$C$53="K12")*((Data!$A$2:$A$53 - Settings!$B$4/24) &lt;= A251)*((Data!$B$2:$B$53 + Settings!$B$4/24) &gt; A251))&gt;0)</f>
        <v>1</v>
      </c>
      <c r="E251">
        <f>--(SUMPRODUCT((Data!$C$2:$C$53="K12B")*((Data!$A$2:$A$53 - Settings!$B$4/24) &lt;= A251)*((Data!$B$2:$B$53 + Settings!$B$4/24) &gt; A251))&gt;0)</f>
        <v>0</v>
      </c>
      <c r="F251">
        <f>--(SUMPRODUCT((Data!$C$2:$C$53="TT2")*((Data!$A$2:$A$53 - Settings!$B$4/24) &lt;= A251)*((Data!$B$2:$B$53 + Settings!$B$4/24) &gt; A251))&gt;0)</f>
        <v>1</v>
      </c>
    </row>
    <row r="252" spans="1:6" ht="15.6" x14ac:dyDescent="0.3">
      <c r="A252" s="1">
        <v>45942.417013888888</v>
      </c>
      <c r="B252">
        <f>--(SUMPRODUCT((Data!$C$2:$C$53="K12C")*((Data!$A$2:$A$53 - Settings!$B$4/24) &lt;= A252)*((Data!$B$2:$B$53 + Settings!$B$4/24) &gt; A252))&gt;0)</f>
        <v>1</v>
      </c>
      <c r="C252">
        <f>--(SUMPRODUCT((Data!$C$2:$C$53="K12A")*((Data!$A$2:$A$53 - Settings!$B$4/24) &lt;= A252)*((Data!$B$2:$B$53 + Settings!$B$4/24) &gt; A252))&gt;0)</f>
        <v>0</v>
      </c>
      <c r="D252">
        <f>--(SUMPRODUCT((Data!$C$2:$C$53="K12")*((Data!$A$2:$A$53 - Settings!$B$4/24) &lt;= A252)*((Data!$B$2:$B$53 + Settings!$B$4/24) &gt; A252))&gt;0)</f>
        <v>1</v>
      </c>
      <c r="E252">
        <f>--(SUMPRODUCT((Data!$C$2:$C$53="K12B")*((Data!$A$2:$A$53 - Settings!$B$4/24) &lt;= A252)*((Data!$B$2:$B$53 + Settings!$B$4/24) &gt; A252))&gt;0)</f>
        <v>0</v>
      </c>
      <c r="F252">
        <f>--(SUMPRODUCT((Data!$C$2:$C$53="TT2")*((Data!$A$2:$A$53 - Settings!$B$4/24) &lt;= A252)*((Data!$B$2:$B$53 + Settings!$B$4/24) &gt; A252))&gt;0)</f>
        <v>1</v>
      </c>
    </row>
    <row r="253" spans="1:6" ht="15.6" x14ac:dyDescent="0.3">
      <c r="A253" s="1">
        <v>45942.458680555559</v>
      </c>
      <c r="B253">
        <f>--(SUMPRODUCT((Data!$C$2:$C$53="K12C")*((Data!$A$2:$A$53 - Settings!$B$4/24) &lt;= A253)*((Data!$B$2:$B$53 + Settings!$B$4/24) &gt; A253))&gt;0)</f>
        <v>1</v>
      </c>
      <c r="C253">
        <f>--(SUMPRODUCT((Data!$C$2:$C$53="K12A")*((Data!$A$2:$A$53 - Settings!$B$4/24) &lt;= A253)*((Data!$B$2:$B$53 + Settings!$B$4/24) &gt; A253))&gt;0)</f>
        <v>0</v>
      </c>
      <c r="D253">
        <f>--(SUMPRODUCT((Data!$C$2:$C$53="K12")*((Data!$A$2:$A$53 - Settings!$B$4/24) &lt;= A253)*((Data!$B$2:$B$53 + Settings!$B$4/24) &gt; A253))&gt;0)</f>
        <v>1</v>
      </c>
      <c r="E253">
        <f>--(SUMPRODUCT((Data!$C$2:$C$53="K12B")*((Data!$A$2:$A$53 - Settings!$B$4/24) &lt;= A253)*((Data!$B$2:$B$53 + Settings!$B$4/24) &gt; A253))&gt;0)</f>
        <v>0</v>
      </c>
      <c r="F253">
        <f>--(SUMPRODUCT((Data!$C$2:$C$53="TT2")*((Data!$A$2:$A$53 - Settings!$B$4/24) &lt;= A253)*((Data!$B$2:$B$53 + Settings!$B$4/24) &gt; A253))&gt;0)</f>
        <v>1</v>
      </c>
    </row>
    <row r="254" spans="1:6" ht="15.6" x14ac:dyDescent="0.3">
      <c r="A254" s="1">
        <v>45942.500347222223</v>
      </c>
      <c r="B254">
        <f>--(SUMPRODUCT((Data!$C$2:$C$53="K12C")*((Data!$A$2:$A$53 - Settings!$B$4/24) &lt;= A254)*((Data!$B$2:$B$53 + Settings!$B$4/24) &gt; A254))&gt;0)</f>
        <v>1</v>
      </c>
      <c r="C254">
        <f>--(SUMPRODUCT((Data!$C$2:$C$53="K12A")*((Data!$A$2:$A$53 - Settings!$B$4/24) &lt;= A254)*((Data!$B$2:$B$53 + Settings!$B$4/24) &gt; A254))&gt;0)</f>
        <v>0</v>
      </c>
      <c r="D254">
        <f>--(SUMPRODUCT((Data!$C$2:$C$53="K12")*((Data!$A$2:$A$53 - Settings!$B$4/24) &lt;= A254)*((Data!$B$2:$B$53 + Settings!$B$4/24) &gt; A254))&gt;0)</f>
        <v>1</v>
      </c>
      <c r="E254">
        <f>--(SUMPRODUCT((Data!$C$2:$C$53="K12B")*((Data!$A$2:$A$53 - Settings!$B$4/24) &lt;= A254)*((Data!$B$2:$B$53 + Settings!$B$4/24) &gt; A254))&gt;0)</f>
        <v>0</v>
      </c>
      <c r="F254">
        <f>--(SUMPRODUCT((Data!$C$2:$C$53="TT2")*((Data!$A$2:$A$53 - Settings!$B$4/24) &lt;= A254)*((Data!$B$2:$B$53 + Settings!$B$4/24) &gt; A254))&gt;0)</f>
        <v>1</v>
      </c>
    </row>
    <row r="255" spans="1:6" ht="15.6" x14ac:dyDescent="0.3">
      <c r="A255" s="1">
        <v>45942.542013888888</v>
      </c>
      <c r="B255">
        <f>--(SUMPRODUCT((Data!$C$2:$C$53="K12C")*((Data!$A$2:$A$53 - Settings!$B$4/24) &lt;= A255)*((Data!$B$2:$B$53 + Settings!$B$4/24) &gt; A255))&gt;0)</f>
        <v>1</v>
      </c>
      <c r="C255">
        <f>--(SUMPRODUCT((Data!$C$2:$C$53="K12A")*((Data!$A$2:$A$53 - Settings!$B$4/24) &lt;= A255)*((Data!$B$2:$B$53 + Settings!$B$4/24) &gt; A255))&gt;0)</f>
        <v>0</v>
      </c>
      <c r="D255">
        <f>--(SUMPRODUCT((Data!$C$2:$C$53="K12")*((Data!$A$2:$A$53 - Settings!$B$4/24) &lt;= A255)*((Data!$B$2:$B$53 + Settings!$B$4/24) &gt; A255))&gt;0)</f>
        <v>1</v>
      </c>
      <c r="E255">
        <f>--(SUMPRODUCT((Data!$C$2:$C$53="K12B")*((Data!$A$2:$A$53 - Settings!$B$4/24) &lt;= A255)*((Data!$B$2:$B$53 + Settings!$B$4/24) &gt; A255))&gt;0)</f>
        <v>0</v>
      </c>
      <c r="F255">
        <f>--(SUMPRODUCT((Data!$C$2:$C$53="TT2")*((Data!$A$2:$A$53 - Settings!$B$4/24) &lt;= A255)*((Data!$B$2:$B$53 + Settings!$B$4/24) &gt; A255))&gt;0)</f>
        <v>1</v>
      </c>
    </row>
    <row r="256" spans="1:6" ht="15.6" x14ac:dyDescent="0.3">
      <c r="A256" s="1">
        <v>45942.583680555559</v>
      </c>
      <c r="B256">
        <f>--(SUMPRODUCT((Data!$C$2:$C$53="K12C")*((Data!$A$2:$A$53 - Settings!$B$4/24) &lt;= A256)*((Data!$B$2:$B$53 + Settings!$B$4/24) &gt; A256))&gt;0)</f>
        <v>1</v>
      </c>
      <c r="C256">
        <f>--(SUMPRODUCT((Data!$C$2:$C$53="K12A")*((Data!$A$2:$A$53 - Settings!$B$4/24) &lt;= A256)*((Data!$B$2:$B$53 + Settings!$B$4/24) &gt; A256))&gt;0)</f>
        <v>0</v>
      </c>
      <c r="D256">
        <f>--(SUMPRODUCT((Data!$C$2:$C$53="K12")*((Data!$A$2:$A$53 - Settings!$B$4/24) &lt;= A256)*((Data!$B$2:$B$53 + Settings!$B$4/24) &gt; A256))&gt;0)</f>
        <v>1</v>
      </c>
      <c r="E256">
        <f>--(SUMPRODUCT((Data!$C$2:$C$53="K12B")*((Data!$A$2:$A$53 - Settings!$B$4/24) &lt;= A256)*((Data!$B$2:$B$53 + Settings!$B$4/24) &gt; A256))&gt;0)</f>
        <v>0</v>
      </c>
      <c r="F256">
        <f>--(SUMPRODUCT((Data!$C$2:$C$53="TT2")*((Data!$A$2:$A$53 - Settings!$B$4/24) &lt;= A256)*((Data!$B$2:$B$53 + Settings!$B$4/24) &gt; A256))&gt;0)</f>
        <v>1</v>
      </c>
    </row>
    <row r="257" spans="1:6" ht="15.6" x14ac:dyDescent="0.3">
      <c r="A257" s="1">
        <v>45942.625347222223</v>
      </c>
      <c r="B257">
        <f>--(SUMPRODUCT((Data!$C$2:$C$53="K12C")*((Data!$A$2:$A$53 - Settings!$B$4/24) &lt;= A257)*((Data!$B$2:$B$53 + Settings!$B$4/24) &gt; A257))&gt;0)</f>
        <v>1</v>
      </c>
      <c r="C257">
        <f>--(SUMPRODUCT((Data!$C$2:$C$53="K12A")*((Data!$A$2:$A$53 - Settings!$B$4/24) &lt;= A257)*((Data!$B$2:$B$53 + Settings!$B$4/24) &gt; A257))&gt;0)</f>
        <v>0</v>
      </c>
      <c r="D257">
        <f>--(SUMPRODUCT((Data!$C$2:$C$53="K12")*((Data!$A$2:$A$53 - Settings!$B$4/24) &lt;= A257)*((Data!$B$2:$B$53 + Settings!$B$4/24) &gt; A257))&gt;0)</f>
        <v>1</v>
      </c>
      <c r="E257">
        <f>--(SUMPRODUCT((Data!$C$2:$C$53="K12B")*((Data!$A$2:$A$53 - Settings!$B$4/24) &lt;= A257)*((Data!$B$2:$B$53 + Settings!$B$4/24) &gt; A257))&gt;0)</f>
        <v>0</v>
      </c>
      <c r="F257">
        <f>--(SUMPRODUCT((Data!$C$2:$C$53="TT2")*((Data!$A$2:$A$53 - Settings!$B$4/24) &lt;= A257)*((Data!$B$2:$B$53 + Settings!$B$4/24) &gt; A257))&gt;0)</f>
        <v>1</v>
      </c>
    </row>
    <row r="258" spans="1:6" ht="15.6" x14ac:dyDescent="0.3">
      <c r="A258" s="1">
        <v>45942.667013888888</v>
      </c>
      <c r="B258">
        <f>--(SUMPRODUCT((Data!$C$2:$C$53="K12C")*((Data!$A$2:$A$53 - Settings!$B$4/24) &lt;= A258)*((Data!$B$2:$B$53 + Settings!$B$4/24) &gt; A258))&gt;0)</f>
        <v>1</v>
      </c>
      <c r="C258">
        <f>--(SUMPRODUCT((Data!$C$2:$C$53="K12A")*((Data!$A$2:$A$53 - Settings!$B$4/24) &lt;= A258)*((Data!$B$2:$B$53 + Settings!$B$4/24) &gt; A258))&gt;0)</f>
        <v>0</v>
      </c>
      <c r="D258">
        <f>--(SUMPRODUCT((Data!$C$2:$C$53="K12")*((Data!$A$2:$A$53 - Settings!$B$4/24) &lt;= A258)*((Data!$B$2:$B$53 + Settings!$B$4/24) &gt; A258))&gt;0)</f>
        <v>1</v>
      </c>
      <c r="E258">
        <f>--(SUMPRODUCT((Data!$C$2:$C$53="K12B")*((Data!$A$2:$A$53 - Settings!$B$4/24) &lt;= A258)*((Data!$B$2:$B$53 + Settings!$B$4/24) &gt; A258))&gt;0)</f>
        <v>0</v>
      </c>
      <c r="F258">
        <f>--(SUMPRODUCT((Data!$C$2:$C$53="TT2")*((Data!$A$2:$A$53 - Settings!$B$4/24) &lt;= A258)*((Data!$B$2:$B$53 + Settings!$B$4/24) &gt; A258))&gt;0)</f>
        <v>1</v>
      </c>
    </row>
    <row r="259" spans="1:6" ht="15.6" x14ac:dyDescent="0.3">
      <c r="A259" s="1">
        <v>45942.708680555559</v>
      </c>
      <c r="B259">
        <f>--(SUMPRODUCT((Data!$C$2:$C$53="K12C")*((Data!$A$2:$A$53 - Settings!$B$4/24) &lt;= A259)*((Data!$B$2:$B$53 + Settings!$B$4/24) &gt; A259))&gt;0)</f>
        <v>1</v>
      </c>
      <c r="C259">
        <f>--(SUMPRODUCT((Data!$C$2:$C$53="K12A")*((Data!$A$2:$A$53 - Settings!$B$4/24) &lt;= A259)*((Data!$B$2:$B$53 + Settings!$B$4/24) &gt; A259))&gt;0)</f>
        <v>0</v>
      </c>
      <c r="D259">
        <f>--(SUMPRODUCT((Data!$C$2:$C$53="K12")*((Data!$A$2:$A$53 - Settings!$B$4/24) &lt;= A259)*((Data!$B$2:$B$53 + Settings!$B$4/24) &gt; A259))&gt;0)</f>
        <v>1</v>
      </c>
      <c r="E259">
        <f>--(SUMPRODUCT((Data!$C$2:$C$53="K12B")*((Data!$A$2:$A$53 - Settings!$B$4/24) &lt;= A259)*((Data!$B$2:$B$53 + Settings!$B$4/24) &gt; A259))&gt;0)</f>
        <v>0</v>
      </c>
      <c r="F259">
        <f>--(SUMPRODUCT((Data!$C$2:$C$53="TT2")*((Data!$A$2:$A$53 - Settings!$B$4/24) &lt;= A259)*((Data!$B$2:$B$53 + Settings!$B$4/24) &gt; A259))&gt;0)</f>
        <v>1</v>
      </c>
    </row>
    <row r="260" spans="1:6" ht="15.6" x14ac:dyDescent="0.3">
      <c r="A260" s="1">
        <v>45942.750347222223</v>
      </c>
      <c r="B260">
        <f>--(SUMPRODUCT((Data!$C$2:$C$53="K12C")*((Data!$A$2:$A$53 - Settings!$B$4/24) &lt;= A260)*((Data!$B$2:$B$53 + Settings!$B$4/24) &gt; A260))&gt;0)</f>
        <v>1</v>
      </c>
      <c r="C260">
        <f>--(SUMPRODUCT((Data!$C$2:$C$53="K12A")*((Data!$A$2:$A$53 - Settings!$B$4/24) &lt;= A260)*((Data!$B$2:$B$53 + Settings!$B$4/24) &gt; A260))&gt;0)</f>
        <v>0</v>
      </c>
      <c r="D260">
        <f>--(SUMPRODUCT((Data!$C$2:$C$53="K12")*((Data!$A$2:$A$53 - Settings!$B$4/24) &lt;= A260)*((Data!$B$2:$B$53 + Settings!$B$4/24) &gt; A260))&gt;0)</f>
        <v>1</v>
      </c>
      <c r="E260">
        <f>--(SUMPRODUCT((Data!$C$2:$C$53="K12B")*((Data!$A$2:$A$53 - Settings!$B$4/24) &lt;= A260)*((Data!$B$2:$B$53 + Settings!$B$4/24) &gt; A260))&gt;0)</f>
        <v>0</v>
      </c>
      <c r="F260">
        <f>--(SUMPRODUCT((Data!$C$2:$C$53="TT2")*((Data!$A$2:$A$53 - Settings!$B$4/24) &lt;= A260)*((Data!$B$2:$B$53 + Settings!$B$4/24) &gt; A260))&gt;0)</f>
        <v>1</v>
      </c>
    </row>
    <row r="261" spans="1:6" ht="15.6" x14ac:dyDescent="0.3">
      <c r="A261" s="1">
        <v>45942.792013888888</v>
      </c>
      <c r="B261">
        <f>--(SUMPRODUCT((Data!$C$2:$C$53="K12C")*((Data!$A$2:$A$53 - Settings!$B$4/24) &lt;= A261)*((Data!$B$2:$B$53 + Settings!$B$4/24) &gt; A261))&gt;0)</f>
        <v>1</v>
      </c>
      <c r="C261">
        <f>--(SUMPRODUCT((Data!$C$2:$C$53="K12A")*((Data!$A$2:$A$53 - Settings!$B$4/24) &lt;= A261)*((Data!$B$2:$B$53 + Settings!$B$4/24) &gt; A261))&gt;0)</f>
        <v>0</v>
      </c>
      <c r="D261">
        <f>--(SUMPRODUCT((Data!$C$2:$C$53="K12")*((Data!$A$2:$A$53 - Settings!$B$4/24) &lt;= A261)*((Data!$B$2:$B$53 + Settings!$B$4/24) &gt; A261))&gt;0)</f>
        <v>1</v>
      </c>
      <c r="E261">
        <f>--(SUMPRODUCT((Data!$C$2:$C$53="K12B")*((Data!$A$2:$A$53 - Settings!$B$4/24) &lt;= A261)*((Data!$B$2:$B$53 + Settings!$B$4/24) &gt; A261))&gt;0)</f>
        <v>0</v>
      </c>
      <c r="F261">
        <f>--(SUMPRODUCT((Data!$C$2:$C$53="TT2")*((Data!$A$2:$A$53 - Settings!$B$4/24) &lt;= A261)*((Data!$B$2:$B$53 + Settings!$B$4/24) &gt; A261))&gt;0)</f>
        <v>1</v>
      </c>
    </row>
    <row r="262" spans="1:6" ht="15.6" x14ac:dyDescent="0.3">
      <c r="A262" s="1">
        <v>45942.833680555559</v>
      </c>
      <c r="B262">
        <f>--(SUMPRODUCT((Data!$C$2:$C$53="K12C")*((Data!$A$2:$A$53 - Settings!$B$4/24) &lt;= A262)*((Data!$B$2:$B$53 + Settings!$B$4/24) &gt; A262))&gt;0)</f>
        <v>1</v>
      </c>
      <c r="C262">
        <f>--(SUMPRODUCT((Data!$C$2:$C$53="K12A")*((Data!$A$2:$A$53 - Settings!$B$4/24) &lt;= A262)*((Data!$B$2:$B$53 + Settings!$B$4/24) &gt; A262))&gt;0)</f>
        <v>0</v>
      </c>
      <c r="D262">
        <f>--(SUMPRODUCT((Data!$C$2:$C$53="K12")*((Data!$A$2:$A$53 - Settings!$B$4/24) &lt;= A262)*((Data!$B$2:$B$53 + Settings!$B$4/24) &gt; A262))&gt;0)</f>
        <v>1</v>
      </c>
      <c r="E262">
        <f>--(SUMPRODUCT((Data!$C$2:$C$53="K12B")*((Data!$A$2:$A$53 - Settings!$B$4/24) &lt;= A262)*((Data!$B$2:$B$53 + Settings!$B$4/24) &gt; A262))&gt;0)</f>
        <v>0</v>
      </c>
      <c r="F262">
        <f>--(SUMPRODUCT((Data!$C$2:$C$53="TT2")*((Data!$A$2:$A$53 - Settings!$B$4/24) &lt;= A262)*((Data!$B$2:$B$53 + Settings!$B$4/24) &gt; A262))&gt;0)</f>
        <v>1</v>
      </c>
    </row>
    <row r="263" spans="1:6" ht="15.6" x14ac:dyDescent="0.3">
      <c r="A263" s="1">
        <v>45942.875347222223</v>
      </c>
      <c r="B263">
        <f>--(SUMPRODUCT((Data!$C$2:$C$53="K12C")*((Data!$A$2:$A$53 - Settings!$B$4/24) &lt;= A263)*((Data!$B$2:$B$53 + Settings!$B$4/24) &gt; A263))&gt;0)</f>
        <v>1</v>
      </c>
      <c r="C263">
        <f>--(SUMPRODUCT((Data!$C$2:$C$53="K12A")*((Data!$A$2:$A$53 - Settings!$B$4/24) &lt;= A263)*((Data!$B$2:$B$53 + Settings!$B$4/24) &gt; A263))&gt;0)</f>
        <v>0</v>
      </c>
      <c r="D263">
        <f>--(SUMPRODUCT((Data!$C$2:$C$53="K12")*((Data!$A$2:$A$53 - Settings!$B$4/24) &lt;= A263)*((Data!$B$2:$B$53 + Settings!$B$4/24) &gt; A263))&gt;0)</f>
        <v>1</v>
      </c>
      <c r="E263">
        <f>--(SUMPRODUCT((Data!$C$2:$C$53="K12B")*((Data!$A$2:$A$53 - Settings!$B$4/24) &lt;= A263)*((Data!$B$2:$B$53 + Settings!$B$4/24) &gt; A263))&gt;0)</f>
        <v>0</v>
      </c>
      <c r="F263">
        <f>--(SUMPRODUCT((Data!$C$2:$C$53="TT2")*((Data!$A$2:$A$53 - Settings!$B$4/24) &lt;= A263)*((Data!$B$2:$B$53 + Settings!$B$4/24) &gt; A263))&gt;0)</f>
        <v>1</v>
      </c>
    </row>
    <row r="264" spans="1:6" ht="15.6" x14ac:dyDescent="0.3">
      <c r="A264" s="1">
        <v>45942.917013888888</v>
      </c>
      <c r="B264">
        <f>--(SUMPRODUCT((Data!$C$2:$C$53="K12C")*((Data!$A$2:$A$53 - Settings!$B$4/24) &lt;= A264)*((Data!$B$2:$B$53 + Settings!$B$4/24) &gt; A264))&gt;0)</f>
        <v>1</v>
      </c>
      <c r="C264">
        <f>--(SUMPRODUCT((Data!$C$2:$C$53="K12A")*((Data!$A$2:$A$53 - Settings!$B$4/24) &lt;= A264)*((Data!$B$2:$B$53 + Settings!$B$4/24) &gt; A264))&gt;0)</f>
        <v>0</v>
      </c>
      <c r="D264">
        <f>--(SUMPRODUCT((Data!$C$2:$C$53="K12")*((Data!$A$2:$A$53 - Settings!$B$4/24) &lt;= A264)*((Data!$B$2:$B$53 + Settings!$B$4/24) &gt; A264))&gt;0)</f>
        <v>1</v>
      </c>
      <c r="E264">
        <f>--(SUMPRODUCT((Data!$C$2:$C$53="K12B")*((Data!$A$2:$A$53 - Settings!$B$4/24) &lt;= A264)*((Data!$B$2:$B$53 + Settings!$B$4/24) &gt; A264))&gt;0)</f>
        <v>0</v>
      </c>
      <c r="F264">
        <f>--(SUMPRODUCT((Data!$C$2:$C$53="TT2")*((Data!$A$2:$A$53 - Settings!$B$4/24) &lt;= A264)*((Data!$B$2:$B$53 + Settings!$B$4/24) &gt; A264))&gt;0)</f>
        <v>1</v>
      </c>
    </row>
    <row r="265" spans="1:6" ht="15.6" x14ac:dyDescent="0.3">
      <c r="A265" s="1">
        <v>45942.958680555559</v>
      </c>
      <c r="B265">
        <f>--(SUMPRODUCT((Data!$C$2:$C$53="K12C")*((Data!$A$2:$A$53 - Settings!$B$4/24) &lt;= A265)*((Data!$B$2:$B$53 + Settings!$B$4/24) &gt; A265))&gt;0)</f>
        <v>1</v>
      </c>
      <c r="C265">
        <f>--(SUMPRODUCT((Data!$C$2:$C$53="K12A")*((Data!$A$2:$A$53 - Settings!$B$4/24) &lt;= A265)*((Data!$B$2:$B$53 + Settings!$B$4/24) &gt; A265))&gt;0)</f>
        <v>0</v>
      </c>
      <c r="D265">
        <f>--(SUMPRODUCT((Data!$C$2:$C$53="K12")*((Data!$A$2:$A$53 - Settings!$B$4/24) &lt;= A265)*((Data!$B$2:$B$53 + Settings!$B$4/24) &gt; A265))&gt;0)</f>
        <v>1</v>
      </c>
      <c r="E265">
        <f>--(SUMPRODUCT((Data!$C$2:$C$53="K12B")*((Data!$A$2:$A$53 - Settings!$B$4/24) &lt;= A265)*((Data!$B$2:$B$53 + Settings!$B$4/24) &gt; A265))&gt;0)</f>
        <v>0</v>
      </c>
      <c r="F265">
        <f>--(SUMPRODUCT((Data!$C$2:$C$53="TT2")*((Data!$A$2:$A$53 - Settings!$B$4/24) &lt;= A265)*((Data!$B$2:$B$53 + Settings!$B$4/24) &gt; A265))&gt;0)</f>
        <v>1</v>
      </c>
    </row>
    <row r="266" spans="1:6" ht="15.6" x14ac:dyDescent="0.3">
      <c r="A266" s="1">
        <v>45943.000347222223</v>
      </c>
      <c r="B266">
        <f>--(SUMPRODUCT((Data!$C$2:$C$53="K12C")*((Data!$A$2:$A$53 - Settings!$B$4/24) &lt;= A266)*((Data!$B$2:$B$53 + Settings!$B$4/24) &gt; A266))&gt;0)</f>
        <v>1</v>
      </c>
      <c r="C266">
        <f>--(SUMPRODUCT((Data!$C$2:$C$53="K12A")*((Data!$A$2:$A$53 - Settings!$B$4/24) &lt;= A266)*((Data!$B$2:$B$53 + Settings!$B$4/24) &gt; A266))&gt;0)</f>
        <v>0</v>
      </c>
      <c r="D266">
        <f>--(SUMPRODUCT((Data!$C$2:$C$53="K12")*((Data!$A$2:$A$53 - Settings!$B$4/24) &lt;= A266)*((Data!$B$2:$B$53 + Settings!$B$4/24) &gt; A266))&gt;0)</f>
        <v>1</v>
      </c>
      <c r="E266">
        <f>--(SUMPRODUCT((Data!$C$2:$C$53="K12B")*((Data!$A$2:$A$53 - Settings!$B$4/24) &lt;= A266)*((Data!$B$2:$B$53 + Settings!$B$4/24) &gt; A266))&gt;0)</f>
        <v>0</v>
      </c>
      <c r="F266">
        <f>--(SUMPRODUCT((Data!$C$2:$C$53="TT2")*((Data!$A$2:$A$53 - Settings!$B$4/24) &lt;= A266)*((Data!$B$2:$B$53 + Settings!$B$4/24) &gt; A266))&gt;0)</f>
        <v>1</v>
      </c>
    </row>
    <row r="267" spans="1:6" ht="15.6" x14ac:dyDescent="0.3">
      <c r="A267" s="1">
        <v>45943.042013888888</v>
      </c>
      <c r="B267">
        <f>--(SUMPRODUCT((Data!$C$2:$C$53="K12C")*((Data!$A$2:$A$53 - Settings!$B$4/24) &lt;= A267)*((Data!$B$2:$B$53 + Settings!$B$4/24) &gt; A267))&gt;0)</f>
        <v>0</v>
      </c>
      <c r="C267">
        <f>--(SUMPRODUCT((Data!$C$2:$C$53="K12A")*((Data!$A$2:$A$53 - Settings!$B$4/24) &lt;= A267)*((Data!$B$2:$B$53 + Settings!$B$4/24) &gt; A267))&gt;0)</f>
        <v>0</v>
      </c>
      <c r="D267">
        <f>--(SUMPRODUCT((Data!$C$2:$C$53="K12")*((Data!$A$2:$A$53 - Settings!$B$4/24) &lt;= A267)*((Data!$B$2:$B$53 + Settings!$B$4/24) &gt; A267))&gt;0)</f>
        <v>1</v>
      </c>
      <c r="E267">
        <f>--(SUMPRODUCT((Data!$C$2:$C$53="K12B")*((Data!$A$2:$A$53 - Settings!$B$4/24) &lt;= A267)*((Data!$B$2:$B$53 + Settings!$B$4/24) &gt; A267))&gt;0)</f>
        <v>1</v>
      </c>
      <c r="F267">
        <f>--(SUMPRODUCT((Data!$C$2:$C$53="TT2")*((Data!$A$2:$A$53 - Settings!$B$4/24) &lt;= A267)*((Data!$B$2:$B$53 + Settings!$B$4/24) &gt; A267))&gt;0)</f>
        <v>1</v>
      </c>
    </row>
    <row r="268" spans="1:6" ht="15.6" x14ac:dyDescent="0.3">
      <c r="A268" s="1">
        <v>45943.083680555559</v>
      </c>
      <c r="B268">
        <f>--(SUMPRODUCT((Data!$C$2:$C$53="K12C")*((Data!$A$2:$A$53 - Settings!$B$4/24) &lt;= A268)*((Data!$B$2:$B$53 + Settings!$B$4/24) &gt; A268))&gt;0)</f>
        <v>0</v>
      </c>
      <c r="C268">
        <f>--(SUMPRODUCT((Data!$C$2:$C$53="K12A")*((Data!$A$2:$A$53 - Settings!$B$4/24) &lt;= A268)*((Data!$B$2:$B$53 + Settings!$B$4/24) &gt; A268))&gt;0)</f>
        <v>0</v>
      </c>
      <c r="D268">
        <f>--(SUMPRODUCT((Data!$C$2:$C$53="K12")*((Data!$A$2:$A$53 - Settings!$B$4/24) &lt;= A268)*((Data!$B$2:$B$53 + Settings!$B$4/24) &gt; A268))&gt;0)</f>
        <v>0</v>
      </c>
      <c r="E268">
        <f>--(SUMPRODUCT((Data!$C$2:$C$53="K12B")*((Data!$A$2:$A$53 - Settings!$B$4/24) &lt;= A268)*((Data!$B$2:$B$53 + Settings!$B$4/24) &gt; A268))&gt;0)</f>
        <v>1</v>
      </c>
      <c r="F268">
        <f>--(SUMPRODUCT((Data!$C$2:$C$53="TT2")*((Data!$A$2:$A$53 - Settings!$B$4/24) &lt;= A268)*((Data!$B$2:$B$53 + Settings!$B$4/24) &gt; A268))&gt;0)</f>
        <v>1</v>
      </c>
    </row>
    <row r="269" spans="1:6" ht="15.6" x14ac:dyDescent="0.3">
      <c r="A269" s="1">
        <v>45943.125347222223</v>
      </c>
      <c r="B269">
        <f>--(SUMPRODUCT((Data!$C$2:$C$53="K12C")*((Data!$A$2:$A$53 - Settings!$B$4/24) &lt;= A269)*((Data!$B$2:$B$53 + Settings!$B$4/24) &gt; A269))&gt;0)</f>
        <v>0</v>
      </c>
      <c r="C269">
        <f>--(SUMPRODUCT((Data!$C$2:$C$53="K12A")*((Data!$A$2:$A$53 - Settings!$B$4/24) &lt;= A269)*((Data!$B$2:$B$53 + Settings!$B$4/24) &gt; A269))&gt;0)</f>
        <v>0</v>
      </c>
      <c r="D269">
        <f>--(SUMPRODUCT((Data!$C$2:$C$53="K12")*((Data!$A$2:$A$53 - Settings!$B$4/24) &lt;= A269)*((Data!$B$2:$B$53 + Settings!$B$4/24) &gt; A269))&gt;0)</f>
        <v>0</v>
      </c>
      <c r="E269">
        <f>--(SUMPRODUCT((Data!$C$2:$C$53="K12B")*((Data!$A$2:$A$53 - Settings!$B$4/24) &lt;= A269)*((Data!$B$2:$B$53 + Settings!$B$4/24) &gt; A269))&gt;0)</f>
        <v>1</v>
      </c>
      <c r="F269">
        <f>--(SUMPRODUCT((Data!$C$2:$C$53="TT2")*((Data!$A$2:$A$53 - Settings!$B$4/24) &lt;= A269)*((Data!$B$2:$B$53 + Settings!$B$4/24) &gt; A269))&gt;0)</f>
        <v>1</v>
      </c>
    </row>
    <row r="270" spans="1:6" ht="15.6" x14ac:dyDescent="0.3">
      <c r="A270" s="1">
        <v>45943.167013888888</v>
      </c>
      <c r="B270">
        <f>--(SUMPRODUCT((Data!$C$2:$C$53="K12C")*((Data!$A$2:$A$53 - Settings!$B$4/24) &lt;= A270)*((Data!$B$2:$B$53 + Settings!$B$4/24) &gt; A270))&gt;0)</f>
        <v>1</v>
      </c>
      <c r="C270">
        <f>--(SUMPRODUCT((Data!$C$2:$C$53="K12A")*((Data!$A$2:$A$53 - Settings!$B$4/24) &lt;= A270)*((Data!$B$2:$B$53 + Settings!$B$4/24) &gt; A270))&gt;0)</f>
        <v>0</v>
      </c>
      <c r="D270">
        <f>--(SUMPRODUCT((Data!$C$2:$C$53="K12")*((Data!$A$2:$A$53 - Settings!$B$4/24) &lt;= A270)*((Data!$B$2:$B$53 + Settings!$B$4/24) &gt; A270))&gt;0)</f>
        <v>0</v>
      </c>
      <c r="E270">
        <f>--(SUMPRODUCT((Data!$C$2:$C$53="K12B")*((Data!$A$2:$A$53 - Settings!$B$4/24) &lt;= A270)*((Data!$B$2:$B$53 + Settings!$B$4/24) &gt; A270))&gt;0)</f>
        <v>1</v>
      </c>
      <c r="F270">
        <f>--(SUMPRODUCT((Data!$C$2:$C$53="TT2")*((Data!$A$2:$A$53 - Settings!$B$4/24) &lt;= A270)*((Data!$B$2:$B$53 + Settings!$B$4/24) &gt; A270))&gt;0)</f>
        <v>1</v>
      </c>
    </row>
    <row r="271" spans="1:6" ht="15.6" x14ac:dyDescent="0.3">
      <c r="A271" s="1">
        <v>45943.208680555559</v>
      </c>
      <c r="B271">
        <f>--(SUMPRODUCT((Data!$C$2:$C$53="K12C")*((Data!$A$2:$A$53 - Settings!$B$4/24) &lt;= A271)*((Data!$B$2:$B$53 + Settings!$B$4/24) &gt; A271))&gt;0)</f>
        <v>1</v>
      </c>
      <c r="C271">
        <f>--(SUMPRODUCT((Data!$C$2:$C$53="K12A")*((Data!$A$2:$A$53 - Settings!$B$4/24) &lt;= A271)*((Data!$B$2:$B$53 + Settings!$B$4/24) &gt; A271))&gt;0)</f>
        <v>1</v>
      </c>
      <c r="D271">
        <f>--(SUMPRODUCT((Data!$C$2:$C$53="K12")*((Data!$A$2:$A$53 - Settings!$B$4/24) &lt;= A271)*((Data!$B$2:$B$53 + Settings!$B$4/24) &gt; A271))&gt;0)</f>
        <v>0</v>
      </c>
      <c r="E271">
        <f>--(SUMPRODUCT((Data!$C$2:$C$53="K12B")*((Data!$A$2:$A$53 - Settings!$B$4/24) &lt;= A271)*((Data!$B$2:$B$53 + Settings!$B$4/24) &gt; A271))&gt;0)</f>
        <v>1</v>
      </c>
      <c r="F271">
        <f>--(SUMPRODUCT((Data!$C$2:$C$53="TT2")*((Data!$A$2:$A$53 - Settings!$B$4/24) &lt;= A271)*((Data!$B$2:$B$53 + Settings!$B$4/24) &gt; A271))&gt;0)</f>
        <v>0</v>
      </c>
    </row>
    <row r="272" spans="1:6" ht="15.6" x14ac:dyDescent="0.3">
      <c r="A272" s="1">
        <v>45943.250347222223</v>
      </c>
      <c r="B272">
        <f>--(SUMPRODUCT((Data!$C$2:$C$53="K12C")*((Data!$A$2:$A$53 - Settings!$B$4/24) &lt;= A272)*((Data!$B$2:$B$53 + Settings!$B$4/24) &gt; A272))&gt;0)</f>
        <v>1</v>
      </c>
      <c r="C272">
        <f>--(SUMPRODUCT((Data!$C$2:$C$53="K12A")*((Data!$A$2:$A$53 - Settings!$B$4/24) &lt;= A272)*((Data!$B$2:$B$53 + Settings!$B$4/24) &gt; A272))&gt;0)</f>
        <v>1</v>
      </c>
      <c r="D272">
        <f>--(SUMPRODUCT((Data!$C$2:$C$53="K12")*((Data!$A$2:$A$53 - Settings!$B$4/24) &lt;= A272)*((Data!$B$2:$B$53 + Settings!$B$4/24) &gt; A272))&gt;0)</f>
        <v>0</v>
      </c>
      <c r="E272">
        <f>--(SUMPRODUCT((Data!$C$2:$C$53="K12B")*((Data!$A$2:$A$53 - Settings!$B$4/24) &lt;= A272)*((Data!$B$2:$B$53 + Settings!$B$4/24) &gt; A272))&gt;0)</f>
        <v>1</v>
      </c>
      <c r="F272">
        <f>--(SUMPRODUCT((Data!$C$2:$C$53="TT2")*((Data!$A$2:$A$53 - Settings!$B$4/24) &lt;= A272)*((Data!$B$2:$B$53 + Settings!$B$4/24) &gt; A272))&gt;0)</f>
        <v>0</v>
      </c>
    </row>
    <row r="273" spans="1:6" ht="15.6" x14ac:dyDescent="0.3">
      <c r="A273" s="1">
        <v>45943.292013888888</v>
      </c>
      <c r="B273">
        <f>--(SUMPRODUCT((Data!$C$2:$C$53="K12C")*((Data!$A$2:$A$53 - Settings!$B$4/24) &lt;= A273)*((Data!$B$2:$B$53 + Settings!$B$4/24) &gt; A273))&gt;0)</f>
        <v>1</v>
      </c>
      <c r="C273">
        <f>--(SUMPRODUCT((Data!$C$2:$C$53="K12A")*((Data!$A$2:$A$53 - Settings!$B$4/24) &lt;= A273)*((Data!$B$2:$B$53 + Settings!$B$4/24) &gt; A273))&gt;0)</f>
        <v>1</v>
      </c>
      <c r="D273">
        <f>--(SUMPRODUCT((Data!$C$2:$C$53="K12")*((Data!$A$2:$A$53 - Settings!$B$4/24) &lt;= A273)*((Data!$B$2:$B$53 + Settings!$B$4/24) &gt; A273))&gt;0)</f>
        <v>0</v>
      </c>
      <c r="E273">
        <f>--(SUMPRODUCT((Data!$C$2:$C$53="K12B")*((Data!$A$2:$A$53 - Settings!$B$4/24) &lt;= A273)*((Data!$B$2:$B$53 + Settings!$B$4/24) &gt; A273))&gt;0)</f>
        <v>1</v>
      </c>
      <c r="F273">
        <f>--(SUMPRODUCT((Data!$C$2:$C$53="TT2")*((Data!$A$2:$A$53 - Settings!$B$4/24) &lt;= A273)*((Data!$B$2:$B$53 + Settings!$B$4/24) &gt; A273))&gt;0)</f>
        <v>0</v>
      </c>
    </row>
    <row r="274" spans="1:6" ht="15.6" x14ac:dyDescent="0.3">
      <c r="A274" s="1">
        <v>45943.333680555559</v>
      </c>
      <c r="B274">
        <f>--(SUMPRODUCT((Data!$C$2:$C$53="K12C")*((Data!$A$2:$A$53 - Settings!$B$4/24) &lt;= A274)*((Data!$B$2:$B$53 + Settings!$B$4/24) &gt; A274))&gt;0)</f>
        <v>1</v>
      </c>
      <c r="C274">
        <f>--(SUMPRODUCT((Data!$C$2:$C$53="K12A")*((Data!$A$2:$A$53 - Settings!$B$4/24) &lt;= A274)*((Data!$B$2:$B$53 + Settings!$B$4/24) &gt; A274))&gt;0)</f>
        <v>1</v>
      </c>
      <c r="D274">
        <f>--(SUMPRODUCT((Data!$C$2:$C$53="K12")*((Data!$A$2:$A$53 - Settings!$B$4/24) &lt;= A274)*((Data!$B$2:$B$53 + Settings!$B$4/24) &gt; A274))&gt;0)</f>
        <v>0</v>
      </c>
      <c r="E274">
        <f>--(SUMPRODUCT((Data!$C$2:$C$53="K12B")*((Data!$A$2:$A$53 - Settings!$B$4/24) &lt;= A274)*((Data!$B$2:$B$53 + Settings!$B$4/24) &gt; A274))&gt;0)</f>
        <v>1</v>
      </c>
      <c r="F274">
        <f>--(SUMPRODUCT((Data!$C$2:$C$53="TT2")*((Data!$A$2:$A$53 - Settings!$B$4/24) &lt;= A274)*((Data!$B$2:$B$53 + Settings!$B$4/24) &gt; A274))&gt;0)</f>
        <v>0</v>
      </c>
    </row>
    <row r="275" spans="1:6" ht="15.6" x14ac:dyDescent="0.3">
      <c r="A275" s="1">
        <v>45943.375347222223</v>
      </c>
      <c r="B275">
        <f>--(SUMPRODUCT((Data!$C$2:$C$53="K12C")*((Data!$A$2:$A$53 - Settings!$B$4/24) &lt;= A275)*((Data!$B$2:$B$53 + Settings!$B$4/24) &gt; A275))&gt;0)</f>
        <v>1</v>
      </c>
      <c r="C275">
        <f>--(SUMPRODUCT((Data!$C$2:$C$53="K12A")*((Data!$A$2:$A$53 - Settings!$B$4/24) &lt;= A275)*((Data!$B$2:$B$53 + Settings!$B$4/24) &gt; A275))&gt;0)</f>
        <v>1</v>
      </c>
      <c r="D275">
        <f>--(SUMPRODUCT((Data!$C$2:$C$53="K12")*((Data!$A$2:$A$53 - Settings!$B$4/24) &lt;= A275)*((Data!$B$2:$B$53 + Settings!$B$4/24) &gt; A275))&gt;0)</f>
        <v>0</v>
      </c>
      <c r="E275">
        <f>--(SUMPRODUCT((Data!$C$2:$C$53="K12B")*((Data!$A$2:$A$53 - Settings!$B$4/24) &lt;= A275)*((Data!$B$2:$B$53 + Settings!$B$4/24) &gt; A275))&gt;0)</f>
        <v>1</v>
      </c>
      <c r="F275">
        <f>--(SUMPRODUCT((Data!$C$2:$C$53="TT2")*((Data!$A$2:$A$53 - Settings!$B$4/24) &lt;= A275)*((Data!$B$2:$B$53 + Settings!$B$4/24) &gt; A275))&gt;0)</f>
        <v>0</v>
      </c>
    </row>
    <row r="276" spans="1:6" ht="15.6" x14ac:dyDescent="0.3">
      <c r="A276" s="1">
        <v>45943.417013888888</v>
      </c>
      <c r="B276">
        <f>--(SUMPRODUCT((Data!$C$2:$C$53="K12C")*((Data!$A$2:$A$53 - Settings!$B$4/24) &lt;= A276)*((Data!$B$2:$B$53 + Settings!$B$4/24) &gt; A276))&gt;0)</f>
        <v>1</v>
      </c>
      <c r="C276">
        <f>--(SUMPRODUCT((Data!$C$2:$C$53="K12A")*((Data!$A$2:$A$53 - Settings!$B$4/24) &lt;= A276)*((Data!$B$2:$B$53 + Settings!$B$4/24) &gt; A276))&gt;0)</f>
        <v>1</v>
      </c>
      <c r="D276">
        <f>--(SUMPRODUCT((Data!$C$2:$C$53="K12")*((Data!$A$2:$A$53 - Settings!$B$4/24) &lt;= A276)*((Data!$B$2:$B$53 + Settings!$B$4/24) &gt; A276))&gt;0)</f>
        <v>0</v>
      </c>
      <c r="E276">
        <f>--(SUMPRODUCT((Data!$C$2:$C$53="K12B")*((Data!$A$2:$A$53 - Settings!$B$4/24) &lt;= A276)*((Data!$B$2:$B$53 + Settings!$B$4/24) &gt; A276))&gt;0)</f>
        <v>1</v>
      </c>
      <c r="F276">
        <f>--(SUMPRODUCT((Data!$C$2:$C$53="TT2")*((Data!$A$2:$A$53 - Settings!$B$4/24) &lt;= A276)*((Data!$B$2:$B$53 + Settings!$B$4/24) &gt; A276))&gt;0)</f>
        <v>0</v>
      </c>
    </row>
    <row r="277" spans="1:6" ht="15.6" x14ac:dyDescent="0.3">
      <c r="A277" s="1">
        <v>45943.458680555559</v>
      </c>
      <c r="B277">
        <f>--(SUMPRODUCT((Data!$C$2:$C$53="K12C")*((Data!$A$2:$A$53 - Settings!$B$4/24) &lt;= A277)*((Data!$B$2:$B$53 + Settings!$B$4/24) &gt; A277))&gt;0)</f>
        <v>1</v>
      </c>
      <c r="C277">
        <f>--(SUMPRODUCT((Data!$C$2:$C$53="K12A")*((Data!$A$2:$A$53 - Settings!$B$4/24) &lt;= A277)*((Data!$B$2:$B$53 + Settings!$B$4/24) &gt; A277))&gt;0)</f>
        <v>1</v>
      </c>
      <c r="D277">
        <f>--(SUMPRODUCT((Data!$C$2:$C$53="K12")*((Data!$A$2:$A$53 - Settings!$B$4/24) &lt;= A277)*((Data!$B$2:$B$53 + Settings!$B$4/24) &gt; A277))&gt;0)</f>
        <v>0</v>
      </c>
      <c r="E277">
        <f>--(SUMPRODUCT((Data!$C$2:$C$53="K12B")*((Data!$A$2:$A$53 - Settings!$B$4/24) &lt;= A277)*((Data!$B$2:$B$53 + Settings!$B$4/24) &gt; A277))&gt;0)</f>
        <v>1</v>
      </c>
      <c r="F277">
        <f>--(SUMPRODUCT((Data!$C$2:$C$53="TT2")*((Data!$A$2:$A$53 - Settings!$B$4/24) &lt;= A277)*((Data!$B$2:$B$53 + Settings!$B$4/24) &gt; A277))&gt;0)</f>
        <v>0</v>
      </c>
    </row>
    <row r="278" spans="1:6" ht="15.6" x14ac:dyDescent="0.3">
      <c r="A278" s="1">
        <v>45943.500347222223</v>
      </c>
      <c r="B278">
        <f>--(SUMPRODUCT((Data!$C$2:$C$53="K12C")*((Data!$A$2:$A$53 - Settings!$B$4/24) &lt;= A278)*((Data!$B$2:$B$53 + Settings!$B$4/24) &gt; A278))&gt;0)</f>
        <v>1</v>
      </c>
      <c r="C278">
        <f>--(SUMPRODUCT((Data!$C$2:$C$53="K12A")*((Data!$A$2:$A$53 - Settings!$B$4/24) &lt;= A278)*((Data!$B$2:$B$53 + Settings!$B$4/24) &gt; A278))&gt;0)</f>
        <v>1</v>
      </c>
      <c r="D278">
        <f>--(SUMPRODUCT((Data!$C$2:$C$53="K12")*((Data!$A$2:$A$53 - Settings!$B$4/24) &lt;= A278)*((Data!$B$2:$B$53 + Settings!$B$4/24) &gt; A278))&gt;0)</f>
        <v>0</v>
      </c>
      <c r="E278">
        <f>--(SUMPRODUCT((Data!$C$2:$C$53="K12B")*((Data!$A$2:$A$53 - Settings!$B$4/24) &lt;= A278)*((Data!$B$2:$B$53 + Settings!$B$4/24) &gt; A278))&gt;0)</f>
        <v>1</v>
      </c>
      <c r="F278">
        <f>--(SUMPRODUCT((Data!$C$2:$C$53="TT2")*((Data!$A$2:$A$53 - Settings!$B$4/24) &lt;= A278)*((Data!$B$2:$B$53 + Settings!$B$4/24) &gt; A278))&gt;0)</f>
        <v>0</v>
      </c>
    </row>
    <row r="279" spans="1:6" ht="15.6" x14ac:dyDescent="0.3">
      <c r="A279" s="1">
        <v>45943.542013888888</v>
      </c>
      <c r="B279">
        <f>--(SUMPRODUCT((Data!$C$2:$C$53="K12C")*((Data!$A$2:$A$53 - Settings!$B$4/24) &lt;= A279)*((Data!$B$2:$B$53 + Settings!$B$4/24) &gt; A279))&gt;0)</f>
        <v>1</v>
      </c>
      <c r="C279">
        <f>--(SUMPRODUCT((Data!$C$2:$C$53="K12A")*((Data!$A$2:$A$53 - Settings!$B$4/24) &lt;= A279)*((Data!$B$2:$B$53 + Settings!$B$4/24) &gt; A279))&gt;0)</f>
        <v>1</v>
      </c>
      <c r="D279">
        <f>--(SUMPRODUCT((Data!$C$2:$C$53="K12")*((Data!$A$2:$A$53 - Settings!$B$4/24) &lt;= A279)*((Data!$B$2:$B$53 + Settings!$B$4/24) &gt; A279))&gt;0)</f>
        <v>0</v>
      </c>
      <c r="E279">
        <f>--(SUMPRODUCT((Data!$C$2:$C$53="K12B")*((Data!$A$2:$A$53 - Settings!$B$4/24) &lt;= A279)*((Data!$B$2:$B$53 + Settings!$B$4/24) &gt; A279))&gt;0)</f>
        <v>1</v>
      </c>
      <c r="F279">
        <f>--(SUMPRODUCT((Data!$C$2:$C$53="TT2")*((Data!$A$2:$A$53 - Settings!$B$4/24) &lt;= A279)*((Data!$B$2:$B$53 + Settings!$B$4/24) &gt; A279))&gt;0)</f>
        <v>0</v>
      </c>
    </row>
    <row r="280" spans="1:6" ht="15.6" x14ac:dyDescent="0.3">
      <c r="A280" s="1">
        <v>45943.583680555559</v>
      </c>
      <c r="B280">
        <f>--(SUMPRODUCT((Data!$C$2:$C$53="K12C")*((Data!$A$2:$A$53 - Settings!$B$4/24) &lt;= A280)*((Data!$B$2:$B$53 + Settings!$B$4/24) &gt; A280))&gt;0)</f>
        <v>1</v>
      </c>
      <c r="C280">
        <f>--(SUMPRODUCT((Data!$C$2:$C$53="K12A")*((Data!$A$2:$A$53 - Settings!$B$4/24) &lt;= A280)*((Data!$B$2:$B$53 + Settings!$B$4/24) &gt; A280))&gt;0)</f>
        <v>1</v>
      </c>
      <c r="D280">
        <f>--(SUMPRODUCT((Data!$C$2:$C$53="K12")*((Data!$A$2:$A$53 - Settings!$B$4/24) &lt;= A280)*((Data!$B$2:$B$53 + Settings!$B$4/24) &gt; A280))&gt;0)</f>
        <v>0</v>
      </c>
      <c r="E280">
        <f>--(SUMPRODUCT((Data!$C$2:$C$53="K12B")*((Data!$A$2:$A$53 - Settings!$B$4/24) &lt;= A280)*((Data!$B$2:$B$53 + Settings!$B$4/24) &gt; A280))&gt;0)</f>
        <v>1</v>
      </c>
      <c r="F280">
        <f>--(SUMPRODUCT((Data!$C$2:$C$53="TT2")*((Data!$A$2:$A$53 - Settings!$B$4/24) &lt;= A280)*((Data!$B$2:$B$53 + Settings!$B$4/24) &gt; A280))&gt;0)</f>
        <v>0</v>
      </c>
    </row>
    <row r="281" spans="1:6" ht="15.6" x14ac:dyDescent="0.3">
      <c r="A281" s="1">
        <v>45943.625347222223</v>
      </c>
      <c r="B281">
        <f>--(SUMPRODUCT((Data!$C$2:$C$53="K12C")*((Data!$A$2:$A$53 - Settings!$B$4/24) &lt;= A281)*((Data!$B$2:$B$53 + Settings!$B$4/24) &gt; A281))&gt;0)</f>
        <v>1</v>
      </c>
      <c r="C281">
        <f>--(SUMPRODUCT((Data!$C$2:$C$53="K12A")*((Data!$A$2:$A$53 - Settings!$B$4/24) &lt;= A281)*((Data!$B$2:$B$53 + Settings!$B$4/24) &gt; A281))&gt;0)</f>
        <v>1</v>
      </c>
      <c r="D281">
        <f>--(SUMPRODUCT((Data!$C$2:$C$53="K12")*((Data!$A$2:$A$53 - Settings!$B$4/24) &lt;= A281)*((Data!$B$2:$B$53 + Settings!$B$4/24) &gt; A281))&gt;0)</f>
        <v>0</v>
      </c>
      <c r="E281">
        <f>--(SUMPRODUCT((Data!$C$2:$C$53="K12B")*((Data!$A$2:$A$53 - Settings!$B$4/24) &lt;= A281)*((Data!$B$2:$B$53 + Settings!$B$4/24) &gt; A281))&gt;0)</f>
        <v>1</v>
      </c>
      <c r="F281">
        <f>--(SUMPRODUCT((Data!$C$2:$C$53="TT2")*((Data!$A$2:$A$53 - Settings!$B$4/24) &lt;= A281)*((Data!$B$2:$B$53 + Settings!$B$4/24) &gt; A281))&gt;0)</f>
        <v>0</v>
      </c>
    </row>
    <row r="282" spans="1:6" ht="15.6" x14ac:dyDescent="0.3">
      <c r="A282" s="1">
        <v>45943.667013888888</v>
      </c>
      <c r="B282">
        <f>--(SUMPRODUCT((Data!$C$2:$C$53="K12C")*((Data!$A$2:$A$53 - Settings!$B$4/24) &lt;= A282)*((Data!$B$2:$B$53 + Settings!$B$4/24) &gt; A282))&gt;0)</f>
        <v>1</v>
      </c>
      <c r="C282">
        <f>--(SUMPRODUCT((Data!$C$2:$C$53="K12A")*((Data!$A$2:$A$53 - Settings!$B$4/24) &lt;= A282)*((Data!$B$2:$B$53 + Settings!$B$4/24) &gt; A282))&gt;0)</f>
        <v>1</v>
      </c>
      <c r="D282">
        <f>--(SUMPRODUCT((Data!$C$2:$C$53="K12")*((Data!$A$2:$A$53 - Settings!$B$4/24) &lt;= A282)*((Data!$B$2:$B$53 + Settings!$B$4/24) &gt; A282))&gt;0)</f>
        <v>1</v>
      </c>
      <c r="E282">
        <f>--(SUMPRODUCT((Data!$C$2:$C$53="K12B")*((Data!$A$2:$A$53 - Settings!$B$4/24) &lt;= A282)*((Data!$B$2:$B$53 + Settings!$B$4/24) &gt; A282))&gt;0)</f>
        <v>1</v>
      </c>
      <c r="F282">
        <f>--(SUMPRODUCT((Data!$C$2:$C$53="TT2")*((Data!$A$2:$A$53 - Settings!$B$4/24) &lt;= A282)*((Data!$B$2:$B$53 + Settings!$B$4/24) &gt; A282))&gt;0)</f>
        <v>0</v>
      </c>
    </row>
    <row r="283" spans="1:6" ht="15.6" x14ac:dyDescent="0.3">
      <c r="A283" s="1">
        <v>45943.708680555559</v>
      </c>
      <c r="B283">
        <f>--(SUMPRODUCT((Data!$C$2:$C$53="K12C")*((Data!$A$2:$A$53 - Settings!$B$4/24) &lt;= A283)*((Data!$B$2:$B$53 + Settings!$B$4/24) &gt; A283))&gt;0)</f>
        <v>1</v>
      </c>
      <c r="C283">
        <f>--(SUMPRODUCT((Data!$C$2:$C$53="K12A")*((Data!$A$2:$A$53 - Settings!$B$4/24) &lt;= A283)*((Data!$B$2:$B$53 + Settings!$B$4/24) &gt; A283))&gt;0)</f>
        <v>1</v>
      </c>
      <c r="D283">
        <f>--(SUMPRODUCT((Data!$C$2:$C$53="K12")*((Data!$A$2:$A$53 - Settings!$B$4/24) &lt;= A283)*((Data!$B$2:$B$53 + Settings!$B$4/24) &gt; A283))&gt;0)</f>
        <v>1</v>
      </c>
      <c r="E283">
        <f>--(SUMPRODUCT((Data!$C$2:$C$53="K12B")*((Data!$A$2:$A$53 - Settings!$B$4/24) &lt;= A283)*((Data!$B$2:$B$53 + Settings!$B$4/24) &gt; A283))&gt;0)</f>
        <v>1</v>
      </c>
      <c r="F283">
        <f>--(SUMPRODUCT((Data!$C$2:$C$53="TT2")*((Data!$A$2:$A$53 - Settings!$B$4/24) &lt;= A283)*((Data!$B$2:$B$53 + Settings!$B$4/24) &gt; A283))&gt;0)</f>
        <v>0</v>
      </c>
    </row>
    <row r="284" spans="1:6" ht="15.6" x14ac:dyDescent="0.3">
      <c r="A284" s="1">
        <v>45943.750347222223</v>
      </c>
      <c r="B284">
        <f>--(SUMPRODUCT((Data!$C$2:$C$53="K12C")*((Data!$A$2:$A$53 - Settings!$B$4/24) &lt;= A284)*((Data!$B$2:$B$53 + Settings!$B$4/24) &gt; A284))&gt;0)</f>
        <v>1</v>
      </c>
      <c r="C284">
        <f>--(SUMPRODUCT((Data!$C$2:$C$53="K12A")*((Data!$A$2:$A$53 - Settings!$B$4/24) &lt;= A284)*((Data!$B$2:$B$53 + Settings!$B$4/24) &gt; A284))&gt;0)</f>
        <v>1</v>
      </c>
      <c r="D284">
        <f>--(SUMPRODUCT((Data!$C$2:$C$53="K12")*((Data!$A$2:$A$53 - Settings!$B$4/24) &lt;= A284)*((Data!$B$2:$B$53 + Settings!$B$4/24) &gt; A284))&gt;0)</f>
        <v>1</v>
      </c>
      <c r="E284">
        <f>--(SUMPRODUCT((Data!$C$2:$C$53="K12B")*((Data!$A$2:$A$53 - Settings!$B$4/24) &lt;= A284)*((Data!$B$2:$B$53 + Settings!$B$4/24) &gt; A284))&gt;0)</f>
        <v>1</v>
      </c>
      <c r="F284">
        <f>--(SUMPRODUCT((Data!$C$2:$C$53="TT2")*((Data!$A$2:$A$53 - Settings!$B$4/24) &lt;= A284)*((Data!$B$2:$B$53 + Settings!$B$4/24) &gt; A284))&gt;0)</f>
        <v>1</v>
      </c>
    </row>
    <row r="285" spans="1:6" ht="15.6" x14ac:dyDescent="0.3">
      <c r="A285" s="1">
        <v>45943.792013888888</v>
      </c>
      <c r="B285">
        <f>--(SUMPRODUCT((Data!$C$2:$C$53="K12C")*((Data!$A$2:$A$53 - Settings!$B$4/24) &lt;= A285)*((Data!$B$2:$B$53 + Settings!$B$4/24) &gt; A285))&gt;0)</f>
        <v>1</v>
      </c>
      <c r="C285">
        <f>--(SUMPRODUCT((Data!$C$2:$C$53="K12A")*((Data!$A$2:$A$53 - Settings!$B$4/24) &lt;= A285)*((Data!$B$2:$B$53 + Settings!$B$4/24) &gt; A285))&gt;0)</f>
        <v>1</v>
      </c>
      <c r="D285">
        <f>--(SUMPRODUCT((Data!$C$2:$C$53="K12")*((Data!$A$2:$A$53 - Settings!$B$4/24) &lt;= A285)*((Data!$B$2:$B$53 + Settings!$B$4/24) &gt; A285))&gt;0)</f>
        <v>1</v>
      </c>
      <c r="E285">
        <f>--(SUMPRODUCT((Data!$C$2:$C$53="K12B")*((Data!$A$2:$A$53 - Settings!$B$4/24) &lt;= A285)*((Data!$B$2:$B$53 + Settings!$B$4/24) &gt; A285))&gt;0)</f>
        <v>1</v>
      </c>
      <c r="F285">
        <f>--(SUMPRODUCT((Data!$C$2:$C$53="TT2")*((Data!$A$2:$A$53 - Settings!$B$4/24) &lt;= A285)*((Data!$B$2:$B$53 + Settings!$B$4/24) &gt; A285))&gt;0)</f>
        <v>1</v>
      </c>
    </row>
    <row r="286" spans="1:6" ht="15.6" x14ac:dyDescent="0.3">
      <c r="A286" s="1">
        <v>45943.833680555559</v>
      </c>
      <c r="B286">
        <f>--(SUMPRODUCT((Data!$C$2:$C$53="K12C")*((Data!$A$2:$A$53 - Settings!$B$4/24) &lt;= A286)*((Data!$B$2:$B$53 + Settings!$B$4/24) &gt; A286))&gt;0)</f>
        <v>1</v>
      </c>
      <c r="C286">
        <f>--(SUMPRODUCT((Data!$C$2:$C$53="K12A")*((Data!$A$2:$A$53 - Settings!$B$4/24) &lt;= A286)*((Data!$B$2:$B$53 + Settings!$B$4/24) &gt; A286))&gt;0)</f>
        <v>1</v>
      </c>
      <c r="D286">
        <f>--(SUMPRODUCT((Data!$C$2:$C$53="K12")*((Data!$A$2:$A$53 - Settings!$B$4/24) &lt;= A286)*((Data!$B$2:$B$53 + Settings!$B$4/24) &gt; A286))&gt;0)</f>
        <v>1</v>
      </c>
      <c r="E286">
        <f>--(SUMPRODUCT((Data!$C$2:$C$53="K12B")*((Data!$A$2:$A$53 - Settings!$B$4/24) &lt;= A286)*((Data!$B$2:$B$53 + Settings!$B$4/24) &gt; A286))&gt;0)</f>
        <v>1</v>
      </c>
      <c r="F286">
        <f>--(SUMPRODUCT((Data!$C$2:$C$53="TT2")*((Data!$A$2:$A$53 - Settings!$B$4/24) &lt;= A286)*((Data!$B$2:$B$53 + Settings!$B$4/24) &gt; A286))&gt;0)</f>
        <v>1</v>
      </c>
    </row>
    <row r="287" spans="1:6" ht="15.6" x14ac:dyDescent="0.3">
      <c r="A287" s="1">
        <v>45943.875347222223</v>
      </c>
      <c r="B287">
        <f>--(SUMPRODUCT((Data!$C$2:$C$53="K12C")*((Data!$A$2:$A$53 - Settings!$B$4/24) &lt;= A287)*((Data!$B$2:$B$53 + Settings!$B$4/24) &gt; A287))&gt;0)</f>
        <v>1</v>
      </c>
      <c r="C287">
        <f>--(SUMPRODUCT((Data!$C$2:$C$53="K12A")*((Data!$A$2:$A$53 - Settings!$B$4/24) &lt;= A287)*((Data!$B$2:$B$53 + Settings!$B$4/24) &gt; A287))&gt;0)</f>
        <v>1</v>
      </c>
      <c r="D287">
        <f>--(SUMPRODUCT((Data!$C$2:$C$53="K12")*((Data!$A$2:$A$53 - Settings!$B$4/24) &lt;= A287)*((Data!$B$2:$B$53 + Settings!$B$4/24) &gt; A287))&gt;0)</f>
        <v>1</v>
      </c>
      <c r="E287">
        <f>--(SUMPRODUCT((Data!$C$2:$C$53="K12B")*((Data!$A$2:$A$53 - Settings!$B$4/24) &lt;= A287)*((Data!$B$2:$B$53 + Settings!$B$4/24) &gt; A287))&gt;0)</f>
        <v>1</v>
      </c>
      <c r="F287">
        <f>--(SUMPRODUCT((Data!$C$2:$C$53="TT2")*((Data!$A$2:$A$53 - Settings!$B$4/24) &lt;= A287)*((Data!$B$2:$B$53 + Settings!$B$4/24) &gt; A287))&gt;0)</f>
        <v>1</v>
      </c>
    </row>
    <row r="288" spans="1:6" ht="15.6" x14ac:dyDescent="0.3">
      <c r="A288" s="1">
        <v>45943.917013888888</v>
      </c>
      <c r="B288">
        <f>--(SUMPRODUCT((Data!$C$2:$C$53="K12C")*((Data!$A$2:$A$53 - Settings!$B$4/24) &lt;= A288)*((Data!$B$2:$B$53 + Settings!$B$4/24) &gt; A288))&gt;0)</f>
        <v>1</v>
      </c>
      <c r="C288">
        <f>--(SUMPRODUCT((Data!$C$2:$C$53="K12A")*((Data!$A$2:$A$53 - Settings!$B$4/24) &lt;= A288)*((Data!$B$2:$B$53 + Settings!$B$4/24) &gt; A288))&gt;0)</f>
        <v>1</v>
      </c>
      <c r="D288">
        <f>--(SUMPRODUCT((Data!$C$2:$C$53="K12")*((Data!$A$2:$A$53 - Settings!$B$4/24) &lt;= A288)*((Data!$B$2:$B$53 + Settings!$B$4/24) &gt; A288))&gt;0)</f>
        <v>1</v>
      </c>
      <c r="E288">
        <f>--(SUMPRODUCT((Data!$C$2:$C$53="K12B")*((Data!$A$2:$A$53 - Settings!$B$4/24) &lt;= A288)*((Data!$B$2:$B$53 + Settings!$B$4/24) &gt; A288))&gt;0)</f>
        <v>1</v>
      </c>
      <c r="F288">
        <f>--(SUMPRODUCT((Data!$C$2:$C$53="TT2")*((Data!$A$2:$A$53 - Settings!$B$4/24) &lt;= A288)*((Data!$B$2:$B$53 + Settings!$B$4/24) &gt; A288))&gt;0)</f>
        <v>1</v>
      </c>
    </row>
    <row r="289" spans="1:6" ht="15.6" x14ac:dyDescent="0.3">
      <c r="A289" s="1">
        <v>45943.958680555559</v>
      </c>
      <c r="B289">
        <f>--(SUMPRODUCT((Data!$C$2:$C$53="K12C")*((Data!$A$2:$A$53 - Settings!$B$4/24) &lt;= A289)*((Data!$B$2:$B$53 + Settings!$B$4/24) &gt; A289))&gt;0)</f>
        <v>1</v>
      </c>
      <c r="C289">
        <f>--(SUMPRODUCT((Data!$C$2:$C$53="K12A")*((Data!$A$2:$A$53 - Settings!$B$4/24) &lt;= A289)*((Data!$B$2:$B$53 + Settings!$B$4/24) &gt; A289))&gt;0)</f>
        <v>1</v>
      </c>
      <c r="D289">
        <f>--(SUMPRODUCT((Data!$C$2:$C$53="K12")*((Data!$A$2:$A$53 - Settings!$B$4/24) &lt;= A289)*((Data!$B$2:$B$53 + Settings!$B$4/24) &gt; A289))&gt;0)</f>
        <v>1</v>
      </c>
      <c r="E289">
        <f>--(SUMPRODUCT((Data!$C$2:$C$53="K12B")*((Data!$A$2:$A$53 - Settings!$B$4/24) &lt;= A289)*((Data!$B$2:$B$53 + Settings!$B$4/24) &gt; A289))&gt;0)</f>
        <v>1</v>
      </c>
      <c r="F289">
        <f>--(SUMPRODUCT((Data!$C$2:$C$53="TT2")*((Data!$A$2:$A$53 - Settings!$B$4/24) &lt;= A289)*((Data!$B$2:$B$53 + Settings!$B$4/24) &gt; A289))&gt;0)</f>
        <v>1</v>
      </c>
    </row>
    <row r="290" spans="1:6" ht="15.6" x14ac:dyDescent="0.3">
      <c r="A290" s="1">
        <v>45944.000347222223</v>
      </c>
      <c r="B290">
        <f>--(SUMPRODUCT((Data!$C$2:$C$53="K12C")*((Data!$A$2:$A$53 - Settings!$B$4/24) &lt;= A290)*((Data!$B$2:$B$53 + Settings!$B$4/24) &gt; A290))&gt;0)</f>
        <v>1</v>
      </c>
      <c r="C290">
        <f>--(SUMPRODUCT((Data!$C$2:$C$53="K12A")*((Data!$A$2:$A$53 - Settings!$B$4/24) &lt;= A290)*((Data!$B$2:$B$53 + Settings!$B$4/24) &gt; A290))&gt;0)</f>
        <v>1</v>
      </c>
      <c r="D290">
        <f>--(SUMPRODUCT((Data!$C$2:$C$53="K12")*((Data!$A$2:$A$53 - Settings!$B$4/24) &lt;= A290)*((Data!$B$2:$B$53 + Settings!$B$4/24) &gt; A290))&gt;0)</f>
        <v>1</v>
      </c>
      <c r="E290">
        <f>--(SUMPRODUCT((Data!$C$2:$C$53="K12B")*((Data!$A$2:$A$53 - Settings!$B$4/24) &lt;= A290)*((Data!$B$2:$B$53 + Settings!$B$4/24) &gt; A290))&gt;0)</f>
        <v>1</v>
      </c>
      <c r="F290">
        <f>--(SUMPRODUCT((Data!$C$2:$C$53="TT2")*((Data!$A$2:$A$53 - Settings!$B$4/24) &lt;= A290)*((Data!$B$2:$B$53 + Settings!$B$4/24) &gt; A290))&gt;0)</f>
        <v>1</v>
      </c>
    </row>
    <row r="291" spans="1:6" ht="15.6" x14ac:dyDescent="0.3">
      <c r="A291" s="1">
        <v>45944.042013888888</v>
      </c>
      <c r="B291">
        <f>--(SUMPRODUCT((Data!$C$2:$C$53="K12C")*((Data!$A$2:$A$53 - Settings!$B$4/24) &lt;= A291)*((Data!$B$2:$B$53 + Settings!$B$4/24) &gt; A291))&gt;0)</f>
        <v>1</v>
      </c>
      <c r="C291">
        <f>--(SUMPRODUCT((Data!$C$2:$C$53="K12A")*((Data!$A$2:$A$53 - Settings!$B$4/24) &lt;= A291)*((Data!$B$2:$B$53 + Settings!$B$4/24) &gt; A291))&gt;0)</f>
        <v>1</v>
      </c>
      <c r="D291">
        <f>--(SUMPRODUCT((Data!$C$2:$C$53="K12")*((Data!$A$2:$A$53 - Settings!$B$4/24) &lt;= A291)*((Data!$B$2:$B$53 + Settings!$B$4/24) &gt; A291))&gt;0)</f>
        <v>1</v>
      </c>
      <c r="E291">
        <f>--(SUMPRODUCT((Data!$C$2:$C$53="K12B")*((Data!$A$2:$A$53 - Settings!$B$4/24) &lt;= A291)*((Data!$B$2:$B$53 + Settings!$B$4/24) &gt; A291))&gt;0)</f>
        <v>1</v>
      </c>
      <c r="F291">
        <f>--(SUMPRODUCT((Data!$C$2:$C$53="TT2")*((Data!$A$2:$A$53 - Settings!$B$4/24) &lt;= A291)*((Data!$B$2:$B$53 + Settings!$B$4/24) &gt; A291))&gt;0)</f>
        <v>1</v>
      </c>
    </row>
    <row r="292" spans="1:6" ht="15.6" x14ac:dyDescent="0.3">
      <c r="A292" s="1">
        <v>45944.083680555559</v>
      </c>
      <c r="B292">
        <f>--(SUMPRODUCT((Data!$C$2:$C$53="K12C")*((Data!$A$2:$A$53 - Settings!$B$4/24) &lt;= A292)*((Data!$B$2:$B$53 + Settings!$B$4/24) &gt; A292))&gt;0)</f>
        <v>1</v>
      </c>
      <c r="C292">
        <f>--(SUMPRODUCT((Data!$C$2:$C$53="K12A")*((Data!$A$2:$A$53 - Settings!$B$4/24) &lt;= A292)*((Data!$B$2:$B$53 + Settings!$B$4/24) &gt; A292))&gt;0)</f>
        <v>1</v>
      </c>
      <c r="D292">
        <f>--(SUMPRODUCT((Data!$C$2:$C$53="K12")*((Data!$A$2:$A$53 - Settings!$B$4/24) &lt;= A292)*((Data!$B$2:$B$53 + Settings!$B$4/24) &gt; A292))&gt;0)</f>
        <v>1</v>
      </c>
      <c r="E292">
        <f>--(SUMPRODUCT((Data!$C$2:$C$53="K12B")*((Data!$A$2:$A$53 - Settings!$B$4/24) &lt;= A292)*((Data!$B$2:$B$53 + Settings!$B$4/24) &gt; A292))&gt;0)</f>
        <v>0</v>
      </c>
      <c r="F292">
        <f>--(SUMPRODUCT((Data!$C$2:$C$53="TT2")*((Data!$A$2:$A$53 - Settings!$B$4/24) &lt;= A292)*((Data!$B$2:$B$53 + Settings!$B$4/24) &gt; A292))&gt;0)</f>
        <v>1</v>
      </c>
    </row>
    <row r="293" spans="1:6" ht="15.6" x14ac:dyDescent="0.3">
      <c r="A293" s="1">
        <v>45944.125347222223</v>
      </c>
      <c r="B293">
        <f>--(SUMPRODUCT((Data!$C$2:$C$53="K12C")*((Data!$A$2:$A$53 - Settings!$B$4/24) &lt;= A293)*((Data!$B$2:$B$53 + Settings!$B$4/24) &gt; A293))&gt;0)</f>
        <v>1</v>
      </c>
      <c r="C293">
        <f>--(SUMPRODUCT((Data!$C$2:$C$53="K12A")*((Data!$A$2:$A$53 - Settings!$B$4/24) &lt;= A293)*((Data!$B$2:$B$53 + Settings!$B$4/24) &gt; A293))&gt;0)</f>
        <v>1</v>
      </c>
      <c r="D293">
        <f>--(SUMPRODUCT((Data!$C$2:$C$53="K12")*((Data!$A$2:$A$53 - Settings!$B$4/24) &lt;= A293)*((Data!$B$2:$B$53 + Settings!$B$4/24) &gt; A293))&gt;0)</f>
        <v>1</v>
      </c>
      <c r="E293">
        <f>--(SUMPRODUCT((Data!$C$2:$C$53="K12B")*((Data!$A$2:$A$53 - Settings!$B$4/24) &lt;= A293)*((Data!$B$2:$B$53 + Settings!$B$4/24) &gt; A293))&gt;0)</f>
        <v>1</v>
      </c>
      <c r="F293">
        <f>--(SUMPRODUCT((Data!$C$2:$C$53="TT2")*((Data!$A$2:$A$53 - Settings!$B$4/24) &lt;= A293)*((Data!$B$2:$B$53 + Settings!$B$4/24) &gt; A293))&gt;0)</f>
        <v>1</v>
      </c>
    </row>
    <row r="294" spans="1:6" ht="15.6" x14ac:dyDescent="0.3">
      <c r="A294" s="1">
        <v>45944.167013888888</v>
      </c>
      <c r="B294">
        <f>--(SUMPRODUCT((Data!$C$2:$C$53="K12C")*((Data!$A$2:$A$53 - Settings!$B$4/24) &lt;= A294)*((Data!$B$2:$B$53 + Settings!$B$4/24) &gt; A294))&gt;0)</f>
        <v>1</v>
      </c>
      <c r="C294">
        <f>--(SUMPRODUCT((Data!$C$2:$C$53="K12A")*((Data!$A$2:$A$53 - Settings!$B$4/24) &lt;= A294)*((Data!$B$2:$B$53 + Settings!$B$4/24) &gt; A294))&gt;0)</f>
        <v>1</v>
      </c>
      <c r="D294">
        <f>--(SUMPRODUCT((Data!$C$2:$C$53="K12")*((Data!$A$2:$A$53 - Settings!$B$4/24) &lt;= A294)*((Data!$B$2:$B$53 + Settings!$B$4/24) &gt; A294))&gt;0)</f>
        <v>1</v>
      </c>
      <c r="E294">
        <f>--(SUMPRODUCT((Data!$C$2:$C$53="K12B")*((Data!$A$2:$A$53 - Settings!$B$4/24) &lt;= A294)*((Data!$B$2:$B$53 + Settings!$B$4/24) &gt; A294))&gt;0)</f>
        <v>1</v>
      </c>
      <c r="F294">
        <f>--(SUMPRODUCT((Data!$C$2:$C$53="TT2")*((Data!$A$2:$A$53 - Settings!$B$4/24) &lt;= A294)*((Data!$B$2:$B$53 + Settings!$B$4/24) &gt; A294))&gt;0)</f>
        <v>1</v>
      </c>
    </row>
    <row r="295" spans="1:6" ht="15.6" x14ac:dyDescent="0.3">
      <c r="A295" s="1">
        <v>45944.208680555559</v>
      </c>
      <c r="B295">
        <f>--(SUMPRODUCT((Data!$C$2:$C$53="K12C")*((Data!$A$2:$A$53 - Settings!$B$4/24) &lt;= A295)*((Data!$B$2:$B$53 + Settings!$B$4/24) &gt; A295))&gt;0)</f>
        <v>1</v>
      </c>
      <c r="C295">
        <f>--(SUMPRODUCT((Data!$C$2:$C$53="K12A")*((Data!$A$2:$A$53 - Settings!$B$4/24) &lt;= A295)*((Data!$B$2:$B$53 + Settings!$B$4/24) &gt; A295))&gt;0)</f>
        <v>1</v>
      </c>
      <c r="D295">
        <f>--(SUMPRODUCT((Data!$C$2:$C$53="K12")*((Data!$A$2:$A$53 - Settings!$B$4/24) &lt;= A295)*((Data!$B$2:$B$53 + Settings!$B$4/24) &gt; A295))&gt;0)</f>
        <v>1</v>
      </c>
      <c r="E295">
        <f>--(SUMPRODUCT((Data!$C$2:$C$53="K12B")*((Data!$A$2:$A$53 - Settings!$B$4/24) &lt;= A295)*((Data!$B$2:$B$53 + Settings!$B$4/24) &gt; A295))&gt;0)</f>
        <v>1</v>
      </c>
      <c r="F295">
        <f>--(SUMPRODUCT((Data!$C$2:$C$53="TT2")*((Data!$A$2:$A$53 - Settings!$B$4/24) &lt;= A295)*((Data!$B$2:$B$53 + Settings!$B$4/24) &gt; A295))&gt;0)</f>
        <v>1</v>
      </c>
    </row>
    <row r="296" spans="1:6" ht="15.6" x14ac:dyDescent="0.3">
      <c r="A296" s="1">
        <v>45944.250347222223</v>
      </c>
      <c r="B296">
        <f>--(SUMPRODUCT((Data!$C$2:$C$53="K12C")*((Data!$A$2:$A$53 - Settings!$B$4/24) &lt;= A296)*((Data!$B$2:$B$53 + Settings!$B$4/24) &gt; A296))&gt;0)</f>
        <v>1</v>
      </c>
      <c r="C296">
        <f>--(SUMPRODUCT((Data!$C$2:$C$53="K12A")*((Data!$A$2:$A$53 - Settings!$B$4/24) &lt;= A296)*((Data!$B$2:$B$53 + Settings!$B$4/24) &gt; A296))&gt;0)</f>
        <v>1</v>
      </c>
      <c r="D296">
        <f>--(SUMPRODUCT((Data!$C$2:$C$53="K12")*((Data!$A$2:$A$53 - Settings!$B$4/24) &lt;= A296)*((Data!$B$2:$B$53 + Settings!$B$4/24) &gt; A296))&gt;0)</f>
        <v>1</v>
      </c>
      <c r="E296">
        <f>--(SUMPRODUCT((Data!$C$2:$C$53="K12B")*((Data!$A$2:$A$53 - Settings!$B$4/24) &lt;= A296)*((Data!$B$2:$B$53 + Settings!$B$4/24) &gt; A296))&gt;0)</f>
        <v>1</v>
      </c>
      <c r="F296">
        <f>--(SUMPRODUCT((Data!$C$2:$C$53="TT2")*((Data!$A$2:$A$53 - Settings!$B$4/24) &lt;= A296)*((Data!$B$2:$B$53 + Settings!$B$4/24) &gt; A296))&gt;0)</f>
        <v>1</v>
      </c>
    </row>
    <row r="297" spans="1:6" ht="15.6" x14ac:dyDescent="0.3">
      <c r="A297" s="1">
        <v>45944.292013888888</v>
      </c>
      <c r="B297">
        <f>--(SUMPRODUCT((Data!$C$2:$C$53="K12C")*((Data!$A$2:$A$53 - Settings!$B$4/24) &lt;= A297)*((Data!$B$2:$B$53 + Settings!$B$4/24) &gt; A297))&gt;0)</f>
        <v>1</v>
      </c>
      <c r="C297">
        <f>--(SUMPRODUCT((Data!$C$2:$C$53="K12A")*((Data!$A$2:$A$53 - Settings!$B$4/24) &lt;= A297)*((Data!$B$2:$B$53 + Settings!$B$4/24) &gt; A297))&gt;0)</f>
        <v>1</v>
      </c>
      <c r="D297">
        <f>--(SUMPRODUCT((Data!$C$2:$C$53="K12")*((Data!$A$2:$A$53 - Settings!$B$4/24) &lt;= A297)*((Data!$B$2:$B$53 + Settings!$B$4/24) &gt; A297))&gt;0)</f>
        <v>1</v>
      </c>
      <c r="E297">
        <f>--(SUMPRODUCT((Data!$C$2:$C$53="K12B")*((Data!$A$2:$A$53 - Settings!$B$4/24) &lt;= A297)*((Data!$B$2:$B$53 + Settings!$B$4/24) &gt; A297))&gt;0)</f>
        <v>1</v>
      </c>
      <c r="F297">
        <f>--(SUMPRODUCT((Data!$C$2:$C$53="TT2")*((Data!$A$2:$A$53 - Settings!$B$4/24) &lt;= A297)*((Data!$B$2:$B$53 + Settings!$B$4/24) &gt; A297))&gt;0)</f>
        <v>1</v>
      </c>
    </row>
    <row r="298" spans="1:6" ht="15.6" x14ac:dyDescent="0.3">
      <c r="A298" s="1">
        <v>45944.333680555559</v>
      </c>
      <c r="B298">
        <f>--(SUMPRODUCT((Data!$C$2:$C$53="K12C")*((Data!$A$2:$A$53 - Settings!$B$4/24) &lt;= A298)*((Data!$B$2:$B$53 + Settings!$B$4/24) &gt; A298))&gt;0)</f>
        <v>1</v>
      </c>
      <c r="C298">
        <f>--(SUMPRODUCT((Data!$C$2:$C$53="K12A")*((Data!$A$2:$A$53 - Settings!$B$4/24) &lt;= A298)*((Data!$B$2:$B$53 + Settings!$B$4/24) &gt; A298))&gt;0)</f>
        <v>1</v>
      </c>
      <c r="D298">
        <f>--(SUMPRODUCT((Data!$C$2:$C$53="K12")*((Data!$A$2:$A$53 - Settings!$B$4/24) &lt;= A298)*((Data!$B$2:$B$53 + Settings!$B$4/24) &gt; A298))&gt;0)</f>
        <v>1</v>
      </c>
      <c r="E298">
        <f>--(SUMPRODUCT((Data!$C$2:$C$53="K12B")*((Data!$A$2:$A$53 - Settings!$B$4/24) &lt;= A298)*((Data!$B$2:$B$53 + Settings!$B$4/24) &gt; A298))&gt;0)</f>
        <v>1</v>
      </c>
      <c r="F298">
        <f>--(SUMPRODUCT((Data!$C$2:$C$53="TT2")*((Data!$A$2:$A$53 - Settings!$B$4/24) &lt;= A298)*((Data!$B$2:$B$53 + Settings!$B$4/24) &gt; A298))&gt;0)</f>
        <v>1</v>
      </c>
    </row>
    <row r="299" spans="1:6" ht="15.6" x14ac:dyDescent="0.3">
      <c r="A299" s="1">
        <v>45944.375347222223</v>
      </c>
      <c r="B299">
        <f>--(SUMPRODUCT((Data!$C$2:$C$53="K12C")*((Data!$A$2:$A$53 - Settings!$B$4/24) &lt;= A299)*((Data!$B$2:$B$53 + Settings!$B$4/24) &gt; A299))&gt;0)</f>
        <v>1</v>
      </c>
      <c r="C299">
        <f>--(SUMPRODUCT((Data!$C$2:$C$53="K12A")*((Data!$A$2:$A$53 - Settings!$B$4/24) &lt;= A299)*((Data!$B$2:$B$53 + Settings!$B$4/24) &gt; A299))&gt;0)</f>
        <v>0</v>
      </c>
      <c r="D299">
        <f>--(SUMPRODUCT((Data!$C$2:$C$53="K12")*((Data!$A$2:$A$53 - Settings!$B$4/24) &lt;= A299)*((Data!$B$2:$B$53 + Settings!$B$4/24) &gt; A299))&gt;0)</f>
        <v>1</v>
      </c>
      <c r="E299">
        <f>--(SUMPRODUCT((Data!$C$2:$C$53="K12B")*((Data!$A$2:$A$53 - Settings!$B$4/24) &lt;= A299)*((Data!$B$2:$B$53 + Settings!$B$4/24) &gt; A299))&gt;0)</f>
        <v>1</v>
      </c>
      <c r="F299">
        <f>--(SUMPRODUCT((Data!$C$2:$C$53="TT2")*((Data!$A$2:$A$53 - Settings!$B$4/24) &lt;= A299)*((Data!$B$2:$B$53 + Settings!$B$4/24) &gt; A299))&gt;0)</f>
        <v>1</v>
      </c>
    </row>
    <row r="300" spans="1:6" ht="15.6" x14ac:dyDescent="0.3">
      <c r="A300" s="1">
        <v>45944.417013888888</v>
      </c>
      <c r="B300">
        <f>--(SUMPRODUCT((Data!$C$2:$C$53="K12C")*((Data!$A$2:$A$53 - Settings!$B$4/24) &lt;= A300)*((Data!$B$2:$B$53 + Settings!$B$4/24) &gt; A300))&gt;0)</f>
        <v>1</v>
      </c>
      <c r="C300">
        <f>--(SUMPRODUCT((Data!$C$2:$C$53="K12A")*((Data!$A$2:$A$53 - Settings!$B$4/24) &lt;= A300)*((Data!$B$2:$B$53 + Settings!$B$4/24) &gt; A300))&gt;0)</f>
        <v>0</v>
      </c>
      <c r="D300">
        <f>--(SUMPRODUCT((Data!$C$2:$C$53="K12")*((Data!$A$2:$A$53 - Settings!$B$4/24) &lt;= A300)*((Data!$B$2:$B$53 + Settings!$B$4/24) &gt; A300))&gt;0)</f>
        <v>1</v>
      </c>
      <c r="E300">
        <f>--(SUMPRODUCT((Data!$C$2:$C$53="K12B")*((Data!$A$2:$A$53 - Settings!$B$4/24) &lt;= A300)*((Data!$B$2:$B$53 + Settings!$B$4/24) &gt; A300))&gt;0)</f>
        <v>1</v>
      </c>
      <c r="F300">
        <f>--(SUMPRODUCT((Data!$C$2:$C$53="TT2")*((Data!$A$2:$A$53 - Settings!$B$4/24) &lt;= A300)*((Data!$B$2:$B$53 + Settings!$B$4/24) &gt; A300))&gt;0)</f>
        <v>1</v>
      </c>
    </row>
    <row r="301" spans="1:6" ht="15.6" x14ac:dyDescent="0.3">
      <c r="A301" s="1">
        <v>45944.458680555559</v>
      </c>
      <c r="B301">
        <f>--(SUMPRODUCT((Data!$C$2:$C$53="K12C")*((Data!$A$2:$A$53 - Settings!$B$4/24) &lt;= A301)*((Data!$B$2:$B$53 + Settings!$B$4/24) &gt; A301))&gt;0)</f>
        <v>1</v>
      </c>
      <c r="C301">
        <f>--(SUMPRODUCT((Data!$C$2:$C$53="K12A")*((Data!$A$2:$A$53 - Settings!$B$4/24) &lt;= A301)*((Data!$B$2:$B$53 + Settings!$B$4/24) &gt; A301))&gt;0)</f>
        <v>0</v>
      </c>
      <c r="D301">
        <f>--(SUMPRODUCT((Data!$C$2:$C$53="K12")*((Data!$A$2:$A$53 - Settings!$B$4/24) &lt;= A301)*((Data!$B$2:$B$53 + Settings!$B$4/24) &gt; A301))&gt;0)</f>
        <v>1</v>
      </c>
      <c r="E301">
        <f>--(SUMPRODUCT((Data!$C$2:$C$53="K12B")*((Data!$A$2:$A$53 - Settings!$B$4/24) &lt;= A301)*((Data!$B$2:$B$53 + Settings!$B$4/24) &gt; A301))&gt;0)</f>
        <v>1</v>
      </c>
      <c r="F301">
        <f>--(SUMPRODUCT((Data!$C$2:$C$53="TT2")*((Data!$A$2:$A$53 - Settings!$B$4/24) &lt;= A301)*((Data!$B$2:$B$53 + Settings!$B$4/24) &gt; A301))&gt;0)</f>
        <v>1</v>
      </c>
    </row>
    <row r="302" spans="1:6" ht="15.6" x14ac:dyDescent="0.3">
      <c r="A302" s="1">
        <v>45944.500347222223</v>
      </c>
      <c r="B302">
        <f>--(SUMPRODUCT((Data!$C$2:$C$53="K12C")*((Data!$A$2:$A$53 - Settings!$B$4/24) &lt;= A302)*((Data!$B$2:$B$53 + Settings!$B$4/24) &gt; A302))&gt;0)</f>
        <v>1</v>
      </c>
      <c r="C302">
        <f>--(SUMPRODUCT((Data!$C$2:$C$53="K12A")*((Data!$A$2:$A$53 - Settings!$B$4/24) &lt;= A302)*((Data!$B$2:$B$53 + Settings!$B$4/24) &gt; A302))&gt;0)</f>
        <v>0</v>
      </c>
      <c r="D302">
        <f>--(SUMPRODUCT((Data!$C$2:$C$53="K12")*((Data!$A$2:$A$53 - Settings!$B$4/24) &lt;= A302)*((Data!$B$2:$B$53 + Settings!$B$4/24) &gt; A302))&gt;0)</f>
        <v>1</v>
      </c>
      <c r="E302">
        <f>--(SUMPRODUCT((Data!$C$2:$C$53="K12B")*((Data!$A$2:$A$53 - Settings!$B$4/24) &lt;= A302)*((Data!$B$2:$B$53 + Settings!$B$4/24) &gt; A302))&gt;0)</f>
        <v>1</v>
      </c>
      <c r="F302">
        <f>--(SUMPRODUCT((Data!$C$2:$C$53="TT2")*((Data!$A$2:$A$53 - Settings!$B$4/24) &lt;= A302)*((Data!$B$2:$B$53 + Settings!$B$4/24) &gt; A302))&gt;0)</f>
        <v>1</v>
      </c>
    </row>
    <row r="303" spans="1:6" ht="15.6" x14ac:dyDescent="0.3">
      <c r="A303" s="1">
        <v>45944.542013888888</v>
      </c>
      <c r="B303">
        <f>--(SUMPRODUCT((Data!$C$2:$C$53="K12C")*((Data!$A$2:$A$53 - Settings!$B$4/24) &lt;= A303)*((Data!$B$2:$B$53 + Settings!$B$4/24) &gt; A303))&gt;0)</f>
        <v>1</v>
      </c>
      <c r="C303">
        <f>--(SUMPRODUCT((Data!$C$2:$C$53="K12A")*((Data!$A$2:$A$53 - Settings!$B$4/24) &lt;= A303)*((Data!$B$2:$B$53 + Settings!$B$4/24) &gt; A303))&gt;0)</f>
        <v>0</v>
      </c>
      <c r="D303">
        <f>--(SUMPRODUCT((Data!$C$2:$C$53="K12")*((Data!$A$2:$A$53 - Settings!$B$4/24) &lt;= A303)*((Data!$B$2:$B$53 + Settings!$B$4/24) &gt; A303))&gt;0)</f>
        <v>1</v>
      </c>
      <c r="E303">
        <f>--(SUMPRODUCT((Data!$C$2:$C$53="K12B")*((Data!$A$2:$A$53 - Settings!$B$4/24) &lt;= A303)*((Data!$B$2:$B$53 + Settings!$B$4/24) &gt; A303))&gt;0)</f>
        <v>1</v>
      </c>
      <c r="F303">
        <f>--(SUMPRODUCT((Data!$C$2:$C$53="TT2")*((Data!$A$2:$A$53 - Settings!$B$4/24) &lt;= A303)*((Data!$B$2:$B$53 + Settings!$B$4/24) &gt; A303))&gt;0)</f>
        <v>1</v>
      </c>
    </row>
    <row r="304" spans="1:6" ht="15.6" x14ac:dyDescent="0.3">
      <c r="A304" s="1">
        <v>45944.583680555559</v>
      </c>
      <c r="B304">
        <f>--(SUMPRODUCT((Data!$C$2:$C$53="K12C")*((Data!$A$2:$A$53 - Settings!$B$4/24) &lt;= A304)*((Data!$B$2:$B$53 + Settings!$B$4/24) &gt; A304))&gt;0)</f>
        <v>1</v>
      </c>
      <c r="C304">
        <f>--(SUMPRODUCT((Data!$C$2:$C$53="K12A")*((Data!$A$2:$A$53 - Settings!$B$4/24) &lt;= A304)*((Data!$B$2:$B$53 + Settings!$B$4/24) &gt; A304))&gt;0)</f>
        <v>0</v>
      </c>
      <c r="D304">
        <f>--(SUMPRODUCT((Data!$C$2:$C$53="K12")*((Data!$A$2:$A$53 - Settings!$B$4/24) &lt;= A304)*((Data!$B$2:$B$53 + Settings!$B$4/24) &gt; A304))&gt;0)</f>
        <v>1</v>
      </c>
      <c r="E304">
        <f>--(SUMPRODUCT((Data!$C$2:$C$53="K12B")*((Data!$A$2:$A$53 - Settings!$B$4/24) &lt;= A304)*((Data!$B$2:$B$53 + Settings!$B$4/24) &gt; A304))&gt;0)</f>
        <v>1</v>
      </c>
      <c r="F304">
        <f>--(SUMPRODUCT((Data!$C$2:$C$53="TT2")*((Data!$A$2:$A$53 - Settings!$B$4/24) &lt;= A304)*((Data!$B$2:$B$53 + Settings!$B$4/24) &gt; A304))&gt;0)</f>
        <v>1</v>
      </c>
    </row>
    <row r="305" spans="1:6" ht="15.6" x14ac:dyDescent="0.3">
      <c r="A305" s="1">
        <v>45944.625347222223</v>
      </c>
      <c r="B305">
        <f>--(SUMPRODUCT((Data!$C$2:$C$53="K12C")*((Data!$A$2:$A$53 - Settings!$B$4/24) &lt;= A305)*((Data!$B$2:$B$53 + Settings!$B$4/24) &gt; A305))&gt;0)</f>
        <v>1</v>
      </c>
      <c r="C305">
        <f>--(SUMPRODUCT((Data!$C$2:$C$53="K12A")*((Data!$A$2:$A$53 - Settings!$B$4/24) &lt;= A305)*((Data!$B$2:$B$53 + Settings!$B$4/24) &gt; A305))&gt;0)</f>
        <v>0</v>
      </c>
      <c r="D305">
        <f>--(SUMPRODUCT((Data!$C$2:$C$53="K12")*((Data!$A$2:$A$53 - Settings!$B$4/24) &lt;= A305)*((Data!$B$2:$B$53 + Settings!$B$4/24) &gt; A305))&gt;0)</f>
        <v>1</v>
      </c>
      <c r="E305">
        <f>--(SUMPRODUCT((Data!$C$2:$C$53="K12B")*((Data!$A$2:$A$53 - Settings!$B$4/24) &lt;= A305)*((Data!$B$2:$B$53 + Settings!$B$4/24) &gt; A305))&gt;0)</f>
        <v>1</v>
      </c>
      <c r="F305">
        <f>--(SUMPRODUCT((Data!$C$2:$C$53="TT2")*((Data!$A$2:$A$53 - Settings!$B$4/24) &lt;= A305)*((Data!$B$2:$B$53 + Settings!$B$4/24) &gt; A305))&gt;0)</f>
        <v>1</v>
      </c>
    </row>
    <row r="306" spans="1:6" ht="15.6" x14ac:dyDescent="0.3">
      <c r="A306" s="1">
        <v>45944.667013888888</v>
      </c>
      <c r="B306">
        <f>--(SUMPRODUCT((Data!$C$2:$C$53="K12C")*((Data!$A$2:$A$53 - Settings!$B$4/24) &lt;= A306)*((Data!$B$2:$B$53 + Settings!$B$4/24) &gt; A306))&gt;0)</f>
        <v>1</v>
      </c>
      <c r="C306">
        <f>--(SUMPRODUCT((Data!$C$2:$C$53="K12A")*((Data!$A$2:$A$53 - Settings!$B$4/24) &lt;= A306)*((Data!$B$2:$B$53 + Settings!$B$4/24) &gt; A306))&gt;0)</f>
        <v>0</v>
      </c>
      <c r="D306">
        <f>--(SUMPRODUCT((Data!$C$2:$C$53="K12")*((Data!$A$2:$A$53 - Settings!$B$4/24) &lt;= A306)*((Data!$B$2:$B$53 + Settings!$B$4/24) &gt; A306))&gt;0)</f>
        <v>1</v>
      </c>
      <c r="E306">
        <f>--(SUMPRODUCT((Data!$C$2:$C$53="K12B")*((Data!$A$2:$A$53 - Settings!$B$4/24) &lt;= A306)*((Data!$B$2:$B$53 + Settings!$B$4/24) &gt; A306))&gt;0)</f>
        <v>1</v>
      </c>
      <c r="F306">
        <f>--(SUMPRODUCT((Data!$C$2:$C$53="TT2")*((Data!$A$2:$A$53 - Settings!$B$4/24) &lt;= A306)*((Data!$B$2:$B$53 + Settings!$B$4/24) &gt; A306))&gt;0)</f>
        <v>1</v>
      </c>
    </row>
    <row r="307" spans="1:6" ht="15.6" x14ac:dyDescent="0.3">
      <c r="A307" s="1">
        <v>45944.708680555559</v>
      </c>
      <c r="B307">
        <f>--(SUMPRODUCT((Data!$C$2:$C$53="K12C")*((Data!$A$2:$A$53 - Settings!$B$4/24) &lt;= A307)*((Data!$B$2:$B$53 + Settings!$B$4/24) &gt; A307))&gt;0)</f>
        <v>1</v>
      </c>
      <c r="C307">
        <f>--(SUMPRODUCT((Data!$C$2:$C$53="K12A")*((Data!$A$2:$A$53 - Settings!$B$4/24) &lt;= A307)*((Data!$B$2:$B$53 + Settings!$B$4/24) &gt; A307))&gt;0)</f>
        <v>0</v>
      </c>
      <c r="D307">
        <f>--(SUMPRODUCT((Data!$C$2:$C$53="K12")*((Data!$A$2:$A$53 - Settings!$B$4/24) &lt;= A307)*((Data!$B$2:$B$53 + Settings!$B$4/24) &gt; A307))&gt;0)</f>
        <v>1</v>
      </c>
      <c r="E307">
        <f>--(SUMPRODUCT((Data!$C$2:$C$53="K12B")*((Data!$A$2:$A$53 - Settings!$B$4/24) &lt;= A307)*((Data!$B$2:$B$53 + Settings!$B$4/24) &gt; A307))&gt;0)</f>
        <v>1</v>
      </c>
      <c r="F307">
        <f>--(SUMPRODUCT((Data!$C$2:$C$53="TT2")*((Data!$A$2:$A$53 - Settings!$B$4/24) &lt;= A307)*((Data!$B$2:$B$53 + Settings!$B$4/24) &gt; A307))&gt;0)</f>
        <v>1</v>
      </c>
    </row>
    <row r="308" spans="1:6" ht="15.6" x14ac:dyDescent="0.3">
      <c r="A308" s="1">
        <v>45944.750347222223</v>
      </c>
      <c r="B308">
        <f>--(SUMPRODUCT((Data!$C$2:$C$53="K12C")*((Data!$A$2:$A$53 - Settings!$B$4/24) &lt;= A308)*((Data!$B$2:$B$53 + Settings!$B$4/24) &gt; A308))&gt;0)</f>
        <v>1</v>
      </c>
      <c r="C308">
        <f>--(SUMPRODUCT((Data!$C$2:$C$53="K12A")*((Data!$A$2:$A$53 - Settings!$B$4/24) &lt;= A308)*((Data!$B$2:$B$53 + Settings!$B$4/24) &gt; A308))&gt;0)</f>
        <v>0</v>
      </c>
      <c r="D308">
        <f>--(SUMPRODUCT((Data!$C$2:$C$53="K12")*((Data!$A$2:$A$53 - Settings!$B$4/24) &lt;= A308)*((Data!$B$2:$B$53 + Settings!$B$4/24) &gt; A308))&gt;0)</f>
        <v>1</v>
      </c>
      <c r="E308">
        <f>--(SUMPRODUCT((Data!$C$2:$C$53="K12B")*((Data!$A$2:$A$53 - Settings!$B$4/24) &lt;= A308)*((Data!$B$2:$B$53 + Settings!$B$4/24) &gt; A308))&gt;0)</f>
        <v>1</v>
      </c>
      <c r="F308">
        <f>--(SUMPRODUCT((Data!$C$2:$C$53="TT2")*((Data!$A$2:$A$53 - Settings!$B$4/24) &lt;= A308)*((Data!$B$2:$B$53 + Settings!$B$4/24) &gt; A308))&gt;0)</f>
        <v>1</v>
      </c>
    </row>
    <row r="309" spans="1:6" ht="15.6" x14ac:dyDescent="0.3">
      <c r="A309" s="1">
        <v>45944.792013888888</v>
      </c>
      <c r="B309">
        <f>--(SUMPRODUCT((Data!$C$2:$C$53="K12C")*((Data!$A$2:$A$53 - Settings!$B$4/24) &lt;= A309)*((Data!$B$2:$B$53 + Settings!$B$4/24) &gt; A309))&gt;0)</f>
        <v>1</v>
      </c>
      <c r="C309">
        <f>--(SUMPRODUCT((Data!$C$2:$C$53="K12A")*((Data!$A$2:$A$53 - Settings!$B$4/24) &lt;= A309)*((Data!$B$2:$B$53 + Settings!$B$4/24) &gt; A309))&gt;0)</f>
        <v>0</v>
      </c>
      <c r="D309">
        <f>--(SUMPRODUCT((Data!$C$2:$C$53="K12")*((Data!$A$2:$A$53 - Settings!$B$4/24) &lt;= A309)*((Data!$B$2:$B$53 + Settings!$B$4/24) &gt; A309))&gt;0)</f>
        <v>1</v>
      </c>
      <c r="E309">
        <f>--(SUMPRODUCT((Data!$C$2:$C$53="K12B")*((Data!$A$2:$A$53 - Settings!$B$4/24) &lt;= A309)*((Data!$B$2:$B$53 + Settings!$B$4/24) &gt; A309))&gt;0)</f>
        <v>1</v>
      </c>
      <c r="F309">
        <f>--(SUMPRODUCT((Data!$C$2:$C$53="TT2")*((Data!$A$2:$A$53 - Settings!$B$4/24) &lt;= A309)*((Data!$B$2:$B$53 + Settings!$B$4/24) &gt; A309))&gt;0)</f>
        <v>1</v>
      </c>
    </row>
    <row r="310" spans="1:6" ht="15.6" x14ac:dyDescent="0.3">
      <c r="A310" s="1">
        <v>45944.833680555559</v>
      </c>
      <c r="B310">
        <f>--(SUMPRODUCT((Data!$C$2:$C$53="K12C")*((Data!$A$2:$A$53 - Settings!$B$4/24) &lt;= A310)*((Data!$B$2:$B$53 + Settings!$B$4/24) &gt; A310))&gt;0)</f>
        <v>1</v>
      </c>
      <c r="C310">
        <f>--(SUMPRODUCT((Data!$C$2:$C$53="K12A")*((Data!$A$2:$A$53 - Settings!$B$4/24) &lt;= A310)*((Data!$B$2:$B$53 + Settings!$B$4/24) &gt; A310))&gt;0)</f>
        <v>0</v>
      </c>
      <c r="D310">
        <f>--(SUMPRODUCT((Data!$C$2:$C$53="K12")*((Data!$A$2:$A$53 - Settings!$B$4/24) &lt;= A310)*((Data!$B$2:$B$53 + Settings!$B$4/24) &gt; A310))&gt;0)</f>
        <v>1</v>
      </c>
      <c r="E310">
        <f>--(SUMPRODUCT((Data!$C$2:$C$53="K12B")*((Data!$A$2:$A$53 - Settings!$B$4/24) &lt;= A310)*((Data!$B$2:$B$53 + Settings!$B$4/24) &gt; A310))&gt;0)</f>
        <v>1</v>
      </c>
      <c r="F310">
        <f>--(SUMPRODUCT((Data!$C$2:$C$53="TT2")*((Data!$A$2:$A$53 - Settings!$B$4/24) &lt;= A310)*((Data!$B$2:$B$53 + Settings!$B$4/24) &gt; A310))&gt;0)</f>
        <v>1</v>
      </c>
    </row>
    <row r="311" spans="1:6" ht="15.6" x14ac:dyDescent="0.3">
      <c r="A311" s="1">
        <v>45944.875347222223</v>
      </c>
      <c r="B311">
        <f>--(SUMPRODUCT((Data!$C$2:$C$53="K12C")*((Data!$A$2:$A$53 - Settings!$B$4/24) &lt;= A311)*((Data!$B$2:$B$53 + Settings!$B$4/24) &gt; A311))&gt;0)</f>
        <v>1</v>
      </c>
      <c r="C311">
        <f>--(SUMPRODUCT((Data!$C$2:$C$53="K12A")*((Data!$A$2:$A$53 - Settings!$B$4/24) &lt;= A311)*((Data!$B$2:$B$53 + Settings!$B$4/24) &gt; A311))&gt;0)</f>
        <v>0</v>
      </c>
      <c r="D311">
        <f>--(SUMPRODUCT((Data!$C$2:$C$53="K12")*((Data!$A$2:$A$53 - Settings!$B$4/24) &lt;= A311)*((Data!$B$2:$B$53 + Settings!$B$4/24) &gt; A311))&gt;0)</f>
        <v>1</v>
      </c>
      <c r="E311">
        <f>--(SUMPRODUCT((Data!$C$2:$C$53="K12B")*((Data!$A$2:$A$53 - Settings!$B$4/24) &lt;= A311)*((Data!$B$2:$B$53 + Settings!$B$4/24) &gt; A311))&gt;0)</f>
        <v>1</v>
      </c>
      <c r="F311">
        <f>--(SUMPRODUCT((Data!$C$2:$C$53="TT2")*((Data!$A$2:$A$53 - Settings!$B$4/24) &lt;= A311)*((Data!$B$2:$B$53 + Settings!$B$4/24) &gt; A311))&gt;0)</f>
        <v>1</v>
      </c>
    </row>
    <row r="312" spans="1:6" ht="15.6" x14ac:dyDescent="0.3">
      <c r="A312" s="1">
        <v>45944.917013888888</v>
      </c>
      <c r="B312">
        <f>--(SUMPRODUCT((Data!$C$2:$C$53="K12C")*((Data!$A$2:$A$53 - Settings!$B$4/24) &lt;= A312)*((Data!$B$2:$B$53 + Settings!$B$4/24) &gt; A312))&gt;0)</f>
        <v>1</v>
      </c>
      <c r="C312">
        <f>--(SUMPRODUCT((Data!$C$2:$C$53="K12A")*((Data!$A$2:$A$53 - Settings!$B$4/24) &lt;= A312)*((Data!$B$2:$B$53 + Settings!$B$4/24) &gt; A312))&gt;0)</f>
        <v>0</v>
      </c>
      <c r="D312">
        <f>--(SUMPRODUCT((Data!$C$2:$C$53="K12")*((Data!$A$2:$A$53 - Settings!$B$4/24) &lt;= A312)*((Data!$B$2:$B$53 + Settings!$B$4/24) &gt; A312))&gt;0)</f>
        <v>1</v>
      </c>
      <c r="E312">
        <f>--(SUMPRODUCT((Data!$C$2:$C$53="K12B")*((Data!$A$2:$A$53 - Settings!$B$4/24) &lt;= A312)*((Data!$B$2:$B$53 + Settings!$B$4/24) &gt; A312))&gt;0)</f>
        <v>1</v>
      </c>
      <c r="F312">
        <f>--(SUMPRODUCT((Data!$C$2:$C$53="TT2")*((Data!$A$2:$A$53 - Settings!$B$4/24) &lt;= A312)*((Data!$B$2:$B$53 + Settings!$B$4/24) &gt; A312))&gt;0)</f>
        <v>1</v>
      </c>
    </row>
    <row r="313" spans="1:6" ht="15.6" x14ac:dyDescent="0.3">
      <c r="A313" s="1">
        <v>45944.958680555559</v>
      </c>
      <c r="B313">
        <f>--(SUMPRODUCT((Data!$C$2:$C$53="K12C")*((Data!$A$2:$A$53 - Settings!$B$4/24) &lt;= A313)*((Data!$B$2:$B$53 + Settings!$B$4/24) &gt; A313))&gt;0)</f>
        <v>1</v>
      </c>
      <c r="C313">
        <f>--(SUMPRODUCT((Data!$C$2:$C$53="K12A")*((Data!$A$2:$A$53 - Settings!$B$4/24) &lt;= A313)*((Data!$B$2:$B$53 + Settings!$B$4/24) &gt; A313))&gt;0)</f>
        <v>0</v>
      </c>
      <c r="D313">
        <f>--(SUMPRODUCT((Data!$C$2:$C$53="K12")*((Data!$A$2:$A$53 - Settings!$B$4/24) &lt;= A313)*((Data!$B$2:$B$53 + Settings!$B$4/24) &gt; A313))&gt;0)</f>
        <v>1</v>
      </c>
      <c r="E313">
        <f>--(SUMPRODUCT((Data!$C$2:$C$53="K12B")*((Data!$A$2:$A$53 - Settings!$B$4/24) &lt;= A313)*((Data!$B$2:$B$53 + Settings!$B$4/24) &gt; A313))&gt;0)</f>
        <v>1</v>
      </c>
      <c r="F313">
        <f>--(SUMPRODUCT((Data!$C$2:$C$53="TT2")*((Data!$A$2:$A$53 - Settings!$B$4/24) &lt;= A313)*((Data!$B$2:$B$53 + Settings!$B$4/24) &gt; A313))&gt;0)</f>
        <v>1</v>
      </c>
    </row>
    <row r="314" spans="1:6" ht="15.6" x14ac:dyDescent="0.3">
      <c r="A314" s="1">
        <v>45945.000347222223</v>
      </c>
      <c r="B314">
        <f>--(SUMPRODUCT((Data!$C$2:$C$53="K12C")*((Data!$A$2:$A$53 - Settings!$B$4/24) &lt;= A314)*((Data!$B$2:$B$53 + Settings!$B$4/24) &gt; A314))&gt;0)</f>
        <v>1</v>
      </c>
      <c r="C314">
        <f>--(SUMPRODUCT((Data!$C$2:$C$53="K12A")*((Data!$A$2:$A$53 - Settings!$B$4/24) &lt;= A314)*((Data!$B$2:$B$53 + Settings!$B$4/24) &gt; A314))&gt;0)</f>
        <v>0</v>
      </c>
      <c r="D314">
        <f>--(SUMPRODUCT((Data!$C$2:$C$53="K12")*((Data!$A$2:$A$53 - Settings!$B$4/24) &lt;= A314)*((Data!$B$2:$B$53 + Settings!$B$4/24) &gt; A314))&gt;0)</f>
        <v>1</v>
      </c>
      <c r="E314">
        <f>--(SUMPRODUCT((Data!$C$2:$C$53="K12B")*((Data!$A$2:$A$53 - Settings!$B$4/24) &lt;= A314)*((Data!$B$2:$B$53 + Settings!$B$4/24) &gt; A314))&gt;0)</f>
        <v>1</v>
      </c>
      <c r="F314">
        <f>--(SUMPRODUCT((Data!$C$2:$C$53="TT2")*((Data!$A$2:$A$53 - Settings!$B$4/24) &lt;= A314)*((Data!$B$2:$B$53 + Settings!$B$4/24) &gt; A314))&gt;0)</f>
        <v>1</v>
      </c>
    </row>
    <row r="315" spans="1:6" ht="15.6" x14ac:dyDescent="0.3">
      <c r="A315" s="1">
        <v>45945.042013888888</v>
      </c>
      <c r="B315">
        <f>--(SUMPRODUCT((Data!$C$2:$C$53="K12C")*((Data!$A$2:$A$53 - Settings!$B$4/24) &lt;= A315)*((Data!$B$2:$B$53 + Settings!$B$4/24) &gt; A315))&gt;0)</f>
        <v>1</v>
      </c>
      <c r="C315">
        <f>--(SUMPRODUCT((Data!$C$2:$C$53="K12A")*((Data!$A$2:$A$53 - Settings!$B$4/24) &lt;= A315)*((Data!$B$2:$B$53 + Settings!$B$4/24) &gt; A315))&gt;0)</f>
        <v>0</v>
      </c>
      <c r="D315">
        <f>--(SUMPRODUCT((Data!$C$2:$C$53="K12")*((Data!$A$2:$A$53 - Settings!$B$4/24) &lt;= A315)*((Data!$B$2:$B$53 + Settings!$B$4/24) &gt; A315))&gt;0)</f>
        <v>1</v>
      </c>
      <c r="E315">
        <f>--(SUMPRODUCT((Data!$C$2:$C$53="K12B")*((Data!$A$2:$A$53 - Settings!$B$4/24) &lt;= A315)*((Data!$B$2:$B$53 + Settings!$B$4/24) &gt; A315))&gt;0)</f>
        <v>1</v>
      </c>
      <c r="F315">
        <f>--(SUMPRODUCT((Data!$C$2:$C$53="TT2")*((Data!$A$2:$A$53 - Settings!$B$4/24) &lt;= A315)*((Data!$B$2:$B$53 + Settings!$B$4/24) &gt; A315))&gt;0)</f>
        <v>1</v>
      </c>
    </row>
    <row r="316" spans="1:6" ht="15.6" x14ac:dyDescent="0.3">
      <c r="A316" s="1">
        <v>45945.083680555559</v>
      </c>
      <c r="B316">
        <f>--(SUMPRODUCT((Data!$C$2:$C$53="K12C")*((Data!$A$2:$A$53 - Settings!$B$4/24) &lt;= A316)*((Data!$B$2:$B$53 + Settings!$B$4/24) &gt; A316))&gt;0)</f>
        <v>1</v>
      </c>
      <c r="C316">
        <f>--(SUMPRODUCT((Data!$C$2:$C$53="K12A")*((Data!$A$2:$A$53 - Settings!$B$4/24) &lt;= A316)*((Data!$B$2:$B$53 + Settings!$B$4/24) &gt; A316))&gt;0)</f>
        <v>0</v>
      </c>
      <c r="D316">
        <f>--(SUMPRODUCT((Data!$C$2:$C$53="K12")*((Data!$A$2:$A$53 - Settings!$B$4/24) &lt;= A316)*((Data!$B$2:$B$53 + Settings!$B$4/24) &gt; A316))&gt;0)</f>
        <v>1</v>
      </c>
      <c r="E316">
        <f>--(SUMPRODUCT((Data!$C$2:$C$53="K12B")*((Data!$A$2:$A$53 - Settings!$B$4/24) &lt;= A316)*((Data!$B$2:$B$53 + Settings!$B$4/24) &gt; A316))&gt;0)</f>
        <v>1</v>
      </c>
      <c r="F316">
        <f>--(SUMPRODUCT((Data!$C$2:$C$53="TT2")*((Data!$A$2:$A$53 - Settings!$B$4/24) &lt;= A316)*((Data!$B$2:$B$53 + Settings!$B$4/24) &gt; A316))&gt;0)</f>
        <v>1</v>
      </c>
    </row>
    <row r="317" spans="1:6" ht="15.6" x14ac:dyDescent="0.3">
      <c r="A317" s="1">
        <v>45945.125347222223</v>
      </c>
      <c r="B317">
        <f>--(SUMPRODUCT((Data!$C$2:$C$53="K12C")*((Data!$A$2:$A$53 - Settings!$B$4/24) &lt;= A317)*((Data!$B$2:$B$53 + Settings!$B$4/24) &gt; A317))&gt;0)</f>
        <v>1</v>
      </c>
      <c r="C317">
        <f>--(SUMPRODUCT((Data!$C$2:$C$53="K12A")*((Data!$A$2:$A$53 - Settings!$B$4/24) &lt;= A317)*((Data!$B$2:$B$53 + Settings!$B$4/24) &gt; A317))&gt;0)</f>
        <v>0</v>
      </c>
      <c r="D317">
        <f>--(SUMPRODUCT((Data!$C$2:$C$53="K12")*((Data!$A$2:$A$53 - Settings!$B$4/24) &lt;= A317)*((Data!$B$2:$B$53 + Settings!$B$4/24) &gt; A317))&gt;0)</f>
        <v>0</v>
      </c>
      <c r="E317">
        <f>--(SUMPRODUCT((Data!$C$2:$C$53="K12B")*((Data!$A$2:$A$53 - Settings!$B$4/24) &lt;= A317)*((Data!$B$2:$B$53 + Settings!$B$4/24) &gt; A317))&gt;0)</f>
        <v>1</v>
      </c>
      <c r="F317">
        <f>--(SUMPRODUCT((Data!$C$2:$C$53="TT2")*((Data!$A$2:$A$53 - Settings!$B$4/24) &lt;= A317)*((Data!$B$2:$B$53 + Settings!$B$4/24) &gt; A317))&gt;0)</f>
        <v>1</v>
      </c>
    </row>
    <row r="318" spans="1:6" ht="15.6" x14ac:dyDescent="0.3">
      <c r="A318" s="1">
        <v>45945.167013888888</v>
      </c>
      <c r="B318">
        <f>--(SUMPRODUCT((Data!$C$2:$C$53="K12C")*((Data!$A$2:$A$53 - Settings!$B$4/24) &lt;= A318)*((Data!$B$2:$B$53 + Settings!$B$4/24) &gt; A318))&gt;0)</f>
        <v>1</v>
      </c>
      <c r="C318">
        <f>--(SUMPRODUCT((Data!$C$2:$C$53="K12A")*((Data!$A$2:$A$53 - Settings!$B$4/24) &lt;= A318)*((Data!$B$2:$B$53 + Settings!$B$4/24) &gt; A318))&gt;0)</f>
        <v>0</v>
      </c>
      <c r="D318">
        <f>--(SUMPRODUCT((Data!$C$2:$C$53="K12")*((Data!$A$2:$A$53 - Settings!$B$4/24) &lt;= A318)*((Data!$B$2:$B$53 + Settings!$B$4/24) &gt; A318))&gt;0)</f>
        <v>0</v>
      </c>
      <c r="E318">
        <f>--(SUMPRODUCT((Data!$C$2:$C$53="K12B")*((Data!$A$2:$A$53 - Settings!$B$4/24) &lt;= A318)*((Data!$B$2:$B$53 + Settings!$B$4/24) &gt; A318))&gt;0)</f>
        <v>1</v>
      </c>
      <c r="F318">
        <f>--(SUMPRODUCT((Data!$C$2:$C$53="TT2")*((Data!$A$2:$A$53 - Settings!$B$4/24) &lt;= A318)*((Data!$B$2:$B$53 + Settings!$B$4/24) &gt; A318))&gt;0)</f>
        <v>1</v>
      </c>
    </row>
    <row r="319" spans="1:6" ht="15.6" x14ac:dyDescent="0.3">
      <c r="A319" s="1">
        <v>45945.208680555559</v>
      </c>
      <c r="B319">
        <f>--(SUMPRODUCT((Data!$C$2:$C$53="K12C")*((Data!$A$2:$A$53 - Settings!$B$4/24) &lt;= A319)*((Data!$B$2:$B$53 + Settings!$B$4/24) &gt; A319))&gt;0)</f>
        <v>1</v>
      </c>
      <c r="C319">
        <f>--(SUMPRODUCT((Data!$C$2:$C$53="K12A")*((Data!$A$2:$A$53 - Settings!$B$4/24) &lt;= A319)*((Data!$B$2:$B$53 + Settings!$B$4/24) &gt; A319))&gt;0)</f>
        <v>0</v>
      </c>
      <c r="D319">
        <f>--(SUMPRODUCT((Data!$C$2:$C$53="K12")*((Data!$A$2:$A$53 - Settings!$B$4/24) &lt;= A319)*((Data!$B$2:$B$53 + Settings!$B$4/24) &gt; A319))&gt;0)</f>
        <v>0</v>
      </c>
      <c r="E319">
        <f>--(SUMPRODUCT((Data!$C$2:$C$53="K12B")*((Data!$A$2:$A$53 - Settings!$B$4/24) &lt;= A319)*((Data!$B$2:$B$53 + Settings!$B$4/24) &gt; A319))&gt;0)</f>
        <v>1</v>
      </c>
      <c r="F319">
        <f>--(SUMPRODUCT((Data!$C$2:$C$53="TT2")*((Data!$A$2:$A$53 - Settings!$B$4/24) &lt;= A319)*((Data!$B$2:$B$53 + Settings!$B$4/24) &gt; A319))&gt;0)</f>
        <v>1</v>
      </c>
    </row>
    <row r="320" spans="1:6" ht="15.6" x14ac:dyDescent="0.3">
      <c r="A320" s="1">
        <v>45945.250347222223</v>
      </c>
      <c r="B320">
        <f>--(SUMPRODUCT((Data!$C$2:$C$53="K12C")*((Data!$A$2:$A$53 - Settings!$B$4/24) &lt;= A320)*((Data!$B$2:$B$53 + Settings!$B$4/24) &gt; A320))&gt;0)</f>
        <v>1</v>
      </c>
      <c r="C320">
        <f>--(SUMPRODUCT((Data!$C$2:$C$53="K12A")*((Data!$A$2:$A$53 - Settings!$B$4/24) &lt;= A320)*((Data!$B$2:$B$53 + Settings!$B$4/24) &gt; A320))&gt;0)</f>
        <v>0</v>
      </c>
      <c r="D320">
        <f>--(SUMPRODUCT((Data!$C$2:$C$53="K12")*((Data!$A$2:$A$53 - Settings!$B$4/24) &lt;= A320)*((Data!$B$2:$B$53 + Settings!$B$4/24) &gt; A320))&gt;0)</f>
        <v>0</v>
      </c>
      <c r="E320">
        <f>--(SUMPRODUCT((Data!$C$2:$C$53="K12B")*((Data!$A$2:$A$53 - Settings!$B$4/24) &lt;= A320)*((Data!$B$2:$B$53 + Settings!$B$4/24) &gt; A320))&gt;0)</f>
        <v>1</v>
      </c>
      <c r="F320">
        <f>--(SUMPRODUCT((Data!$C$2:$C$53="TT2")*((Data!$A$2:$A$53 - Settings!$B$4/24) &lt;= A320)*((Data!$B$2:$B$53 + Settings!$B$4/24) &gt; A320))&gt;0)</f>
        <v>1</v>
      </c>
    </row>
    <row r="321" spans="1:6" ht="15.6" x14ac:dyDescent="0.3">
      <c r="A321" s="1">
        <v>45945.292013888888</v>
      </c>
      <c r="B321">
        <f>--(SUMPRODUCT((Data!$C$2:$C$53="K12C")*((Data!$A$2:$A$53 - Settings!$B$4/24) &lt;= A321)*((Data!$B$2:$B$53 + Settings!$B$4/24) &gt; A321))&gt;0)</f>
        <v>1</v>
      </c>
      <c r="C321">
        <f>--(SUMPRODUCT((Data!$C$2:$C$53="K12A")*((Data!$A$2:$A$53 - Settings!$B$4/24) &lt;= A321)*((Data!$B$2:$B$53 + Settings!$B$4/24) &gt; A321))&gt;0)</f>
        <v>0</v>
      </c>
      <c r="D321">
        <f>--(SUMPRODUCT((Data!$C$2:$C$53="K12")*((Data!$A$2:$A$53 - Settings!$B$4/24) &lt;= A321)*((Data!$B$2:$B$53 + Settings!$B$4/24) &gt; A321))&gt;0)</f>
        <v>0</v>
      </c>
      <c r="E321">
        <f>--(SUMPRODUCT((Data!$C$2:$C$53="K12B")*((Data!$A$2:$A$53 - Settings!$B$4/24) &lt;= A321)*((Data!$B$2:$B$53 + Settings!$B$4/24) &gt; A321))&gt;0)</f>
        <v>1</v>
      </c>
      <c r="F321">
        <f>--(SUMPRODUCT((Data!$C$2:$C$53="TT2")*((Data!$A$2:$A$53 - Settings!$B$4/24) &lt;= A321)*((Data!$B$2:$B$53 + Settings!$B$4/24) &gt; A321))&gt;0)</f>
        <v>1</v>
      </c>
    </row>
    <row r="322" spans="1:6" ht="15.6" x14ac:dyDescent="0.3">
      <c r="A322" s="1">
        <v>45945.333680555559</v>
      </c>
      <c r="B322">
        <f>--(SUMPRODUCT((Data!$C$2:$C$53="K12C")*((Data!$A$2:$A$53 - Settings!$B$4/24) &lt;= A322)*((Data!$B$2:$B$53 + Settings!$B$4/24) &gt; A322))&gt;0)</f>
        <v>1</v>
      </c>
      <c r="C322">
        <f>--(SUMPRODUCT((Data!$C$2:$C$53="K12A")*((Data!$A$2:$A$53 - Settings!$B$4/24) &lt;= A322)*((Data!$B$2:$B$53 + Settings!$B$4/24) &gt; A322))&gt;0)</f>
        <v>0</v>
      </c>
      <c r="D322">
        <f>--(SUMPRODUCT((Data!$C$2:$C$53="K12")*((Data!$A$2:$A$53 - Settings!$B$4/24) &lt;= A322)*((Data!$B$2:$B$53 + Settings!$B$4/24) &gt; A322))&gt;0)</f>
        <v>0</v>
      </c>
      <c r="E322">
        <f>--(SUMPRODUCT((Data!$C$2:$C$53="K12B")*((Data!$A$2:$A$53 - Settings!$B$4/24) &lt;= A322)*((Data!$B$2:$B$53 + Settings!$B$4/24) &gt; A322))&gt;0)</f>
        <v>1</v>
      </c>
      <c r="F322">
        <f>--(SUMPRODUCT((Data!$C$2:$C$53="TT2")*((Data!$A$2:$A$53 - Settings!$B$4/24) &lt;= A322)*((Data!$B$2:$B$53 + Settings!$B$4/24) &gt; A322))&gt;0)</f>
        <v>1</v>
      </c>
    </row>
    <row r="323" spans="1:6" ht="15.6" x14ac:dyDescent="0.3">
      <c r="A323" s="1">
        <v>45945.375347222223</v>
      </c>
      <c r="B323">
        <f>--(SUMPRODUCT((Data!$C$2:$C$53="K12C")*((Data!$A$2:$A$53 - Settings!$B$4/24) &lt;= A323)*((Data!$B$2:$B$53 + Settings!$B$4/24) &gt; A323))&gt;0)</f>
        <v>1</v>
      </c>
      <c r="C323">
        <f>--(SUMPRODUCT((Data!$C$2:$C$53="K12A")*((Data!$A$2:$A$53 - Settings!$B$4/24) &lt;= A323)*((Data!$B$2:$B$53 + Settings!$B$4/24) &gt; A323))&gt;0)</f>
        <v>0</v>
      </c>
      <c r="D323">
        <f>--(SUMPRODUCT((Data!$C$2:$C$53="K12")*((Data!$A$2:$A$53 - Settings!$B$4/24) &lt;= A323)*((Data!$B$2:$B$53 + Settings!$B$4/24) &gt; A323))&gt;0)</f>
        <v>0</v>
      </c>
      <c r="E323">
        <f>--(SUMPRODUCT((Data!$C$2:$C$53="K12B")*((Data!$A$2:$A$53 - Settings!$B$4/24) &lt;= A323)*((Data!$B$2:$B$53 + Settings!$B$4/24) &gt; A323))&gt;0)</f>
        <v>1</v>
      </c>
      <c r="F323">
        <f>--(SUMPRODUCT((Data!$C$2:$C$53="TT2")*((Data!$A$2:$A$53 - Settings!$B$4/24) &lt;= A323)*((Data!$B$2:$B$53 + Settings!$B$4/24) &gt; A323))&gt;0)</f>
        <v>1</v>
      </c>
    </row>
    <row r="324" spans="1:6" ht="15.6" x14ac:dyDescent="0.3">
      <c r="A324" s="1">
        <v>45945.417013888888</v>
      </c>
      <c r="B324">
        <f>--(SUMPRODUCT((Data!$C$2:$C$53="K12C")*((Data!$A$2:$A$53 - Settings!$B$4/24) &lt;= A324)*((Data!$B$2:$B$53 + Settings!$B$4/24) &gt; A324))&gt;0)</f>
        <v>1</v>
      </c>
      <c r="C324">
        <f>--(SUMPRODUCT((Data!$C$2:$C$53="K12A")*((Data!$A$2:$A$53 - Settings!$B$4/24) &lt;= A324)*((Data!$B$2:$B$53 + Settings!$B$4/24) &gt; A324))&gt;0)</f>
        <v>0</v>
      </c>
      <c r="D324">
        <f>--(SUMPRODUCT((Data!$C$2:$C$53="K12")*((Data!$A$2:$A$53 - Settings!$B$4/24) &lt;= A324)*((Data!$B$2:$B$53 + Settings!$B$4/24) &gt; A324))&gt;0)</f>
        <v>0</v>
      </c>
      <c r="E324">
        <f>--(SUMPRODUCT((Data!$C$2:$C$53="K12B")*((Data!$A$2:$A$53 - Settings!$B$4/24) &lt;= A324)*((Data!$B$2:$B$53 + Settings!$B$4/24) &gt; A324))&gt;0)</f>
        <v>1</v>
      </c>
      <c r="F324">
        <f>--(SUMPRODUCT((Data!$C$2:$C$53="TT2")*((Data!$A$2:$A$53 - Settings!$B$4/24) &lt;= A324)*((Data!$B$2:$B$53 + Settings!$B$4/24) &gt; A324))&gt;0)</f>
        <v>1</v>
      </c>
    </row>
    <row r="325" spans="1:6" ht="15.6" x14ac:dyDescent="0.3">
      <c r="A325" s="1">
        <v>45945.458680555559</v>
      </c>
      <c r="B325">
        <f>--(SUMPRODUCT((Data!$C$2:$C$53="K12C")*((Data!$A$2:$A$53 - Settings!$B$4/24) &lt;= A325)*((Data!$B$2:$B$53 + Settings!$B$4/24) &gt; A325))&gt;0)</f>
        <v>1</v>
      </c>
      <c r="C325">
        <f>--(SUMPRODUCT((Data!$C$2:$C$53="K12A")*((Data!$A$2:$A$53 - Settings!$B$4/24) &lt;= A325)*((Data!$B$2:$B$53 + Settings!$B$4/24) &gt; A325))&gt;0)</f>
        <v>0</v>
      </c>
      <c r="D325">
        <f>--(SUMPRODUCT((Data!$C$2:$C$53="K12")*((Data!$A$2:$A$53 - Settings!$B$4/24) &lt;= A325)*((Data!$B$2:$B$53 + Settings!$B$4/24) &gt; A325))&gt;0)</f>
        <v>0</v>
      </c>
      <c r="E325">
        <f>--(SUMPRODUCT((Data!$C$2:$C$53="K12B")*((Data!$A$2:$A$53 - Settings!$B$4/24) &lt;= A325)*((Data!$B$2:$B$53 + Settings!$B$4/24) &gt; A325))&gt;0)</f>
        <v>0</v>
      </c>
      <c r="F325">
        <f>--(SUMPRODUCT((Data!$C$2:$C$53="TT2")*((Data!$A$2:$A$53 - Settings!$B$4/24) &lt;= A325)*((Data!$B$2:$B$53 + Settings!$B$4/24) &gt; A325))&gt;0)</f>
        <v>1</v>
      </c>
    </row>
    <row r="326" spans="1:6" ht="15.6" x14ac:dyDescent="0.3">
      <c r="A326" s="1">
        <v>45945.500347222223</v>
      </c>
      <c r="B326">
        <f>--(SUMPRODUCT((Data!$C$2:$C$53="K12C")*((Data!$A$2:$A$53 - Settings!$B$4/24) &lt;= A326)*((Data!$B$2:$B$53 + Settings!$B$4/24) &gt; A326))&gt;0)</f>
        <v>1</v>
      </c>
      <c r="C326">
        <f>--(SUMPRODUCT((Data!$C$2:$C$53="K12A")*((Data!$A$2:$A$53 - Settings!$B$4/24) &lt;= A326)*((Data!$B$2:$B$53 + Settings!$B$4/24) &gt; A326))&gt;0)</f>
        <v>0</v>
      </c>
      <c r="D326">
        <f>--(SUMPRODUCT((Data!$C$2:$C$53="K12")*((Data!$A$2:$A$53 - Settings!$B$4/24) &lt;= A326)*((Data!$B$2:$B$53 + Settings!$B$4/24) &gt; A326))&gt;0)</f>
        <v>0</v>
      </c>
      <c r="E326">
        <f>--(SUMPRODUCT((Data!$C$2:$C$53="K12B")*((Data!$A$2:$A$53 - Settings!$B$4/24) &lt;= A326)*((Data!$B$2:$B$53 + Settings!$B$4/24) &gt; A326))&gt;0)</f>
        <v>0</v>
      </c>
      <c r="F326">
        <f>--(SUMPRODUCT((Data!$C$2:$C$53="TT2")*((Data!$A$2:$A$53 - Settings!$B$4/24) &lt;= A326)*((Data!$B$2:$B$53 + Settings!$B$4/24) &gt; A326))&gt;0)</f>
        <v>1</v>
      </c>
    </row>
    <row r="327" spans="1:6" ht="15.6" x14ac:dyDescent="0.3">
      <c r="A327" s="1">
        <v>45945.542013888888</v>
      </c>
      <c r="B327">
        <f>--(SUMPRODUCT((Data!$C$2:$C$53="K12C")*((Data!$A$2:$A$53 - Settings!$B$4/24) &lt;= A327)*((Data!$B$2:$B$53 + Settings!$B$4/24) &gt; A327))&gt;0)</f>
        <v>1</v>
      </c>
      <c r="C327">
        <f>--(SUMPRODUCT((Data!$C$2:$C$53="K12A")*((Data!$A$2:$A$53 - Settings!$B$4/24) &lt;= A327)*((Data!$B$2:$B$53 + Settings!$B$4/24) &gt; A327))&gt;0)</f>
        <v>0</v>
      </c>
      <c r="D327">
        <f>--(SUMPRODUCT((Data!$C$2:$C$53="K12")*((Data!$A$2:$A$53 - Settings!$B$4/24) &lt;= A327)*((Data!$B$2:$B$53 + Settings!$B$4/24) &gt; A327))&gt;0)</f>
        <v>0</v>
      </c>
      <c r="E327">
        <f>--(SUMPRODUCT((Data!$C$2:$C$53="K12B")*((Data!$A$2:$A$53 - Settings!$B$4/24) &lt;= A327)*((Data!$B$2:$B$53 + Settings!$B$4/24) &gt; A327))&gt;0)</f>
        <v>0</v>
      </c>
      <c r="F327">
        <f>--(SUMPRODUCT((Data!$C$2:$C$53="TT2")*((Data!$A$2:$A$53 - Settings!$B$4/24) &lt;= A327)*((Data!$B$2:$B$53 + Settings!$B$4/24) &gt; A327))&gt;0)</f>
        <v>1</v>
      </c>
    </row>
    <row r="328" spans="1:6" ht="15.6" x14ac:dyDescent="0.3">
      <c r="A328" s="1">
        <v>45945.583680555559</v>
      </c>
      <c r="B328">
        <f>--(SUMPRODUCT((Data!$C$2:$C$53="K12C")*((Data!$A$2:$A$53 - Settings!$B$4/24) &lt;= A328)*((Data!$B$2:$B$53 + Settings!$B$4/24) &gt; A328))&gt;0)</f>
        <v>1</v>
      </c>
      <c r="C328">
        <f>--(SUMPRODUCT((Data!$C$2:$C$53="K12A")*((Data!$A$2:$A$53 - Settings!$B$4/24) &lt;= A328)*((Data!$B$2:$B$53 + Settings!$B$4/24) &gt; A328))&gt;0)</f>
        <v>0</v>
      </c>
      <c r="D328">
        <f>--(SUMPRODUCT((Data!$C$2:$C$53="K12")*((Data!$A$2:$A$53 - Settings!$B$4/24) &lt;= A328)*((Data!$B$2:$B$53 + Settings!$B$4/24) &gt; A328))&gt;0)</f>
        <v>0</v>
      </c>
      <c r="E328">
        <f>--(SUMPRODUCT((Data!$C$2:$C$53="K12B")*((Data!$A$2:$A$53 - Settings!$B$4/24) &lt;= A328)*((Data!$B$2:$B$53 + Settings!$B$4/24) &gt; A328))&gt;0)</f>
        <v>0</v>
      </c>
      <c r="F328">
        <f>--(SUMPRODUCT((Data!$C$2:$C$53="TT2")*((Data!$A$2:$A$53 - Settings!$B$4/24) &lt;= A328)*((Data!$B$2:$B$53 + Settings!$B$4/24) &gt; A328))&gt;0)</f>
        <v>1</v>
      </c>
    </row>
    <row r="329" spans="1:6" ht="15.6" x14ac:dyDescent="0.3">
      <c r="A329" s="1">
        <v>45945.625347222223</v>
      </c>
      <c r="B329">
        <f>--(SUMPRODUCT((Data!$C$2:$C$53="K12C")*((Data!$A$2:$A$53 - Settings!$B$4/24) &lt;= A329)*((Data!$B$2:$B$53 + Settings!$B$4/24) &gt; A329))&gt;0)</f>
        <v>1</v>
      </c>
      <c r="C329">
        <f>--(SUMPRODUCT((Data!$C$2:$C$53="K12A")*((Data!$A$2:$A$53 - Settings!$B$4/24) &lt;= A329)*((Data!$B$2:$B$53 + Settings!$B$4/24) &gt; A329))&gt;0)</f>
        <v>0</v>
      </c>
      <c r="D329">
        <f>--(SUMPRODUCT((Data!$C$2:$C$53="K12")*((Data!$A$2:$A$53 - Settings!$B$4/24) &lt;= A329)*((Data!$B$2:$B$53 + Settings!$B$4/24) &gt; A329))&gt;0)</f>
        <v>0</v>
      </c>
      <c r="E329">
        <f>--(SUMPRODUCT((Data!$C$2:$C$53="K12B")*((Data!$A$2:$A$53 - Settings!$B$4/24) &lt;= A329)*((Data!$B$2:$B$53 + Settings!$B$4/24) &gt; A329))&gt;0)</f>
        <v>0</v>
      </c>
      <c r="F329">
        <f>--(SUMPRODUCT((Data!$C$2:$C$53="TT2")*((Data!$A$2:$A$53 - Settings!$B$4/24) &lt;= A329)*((Data!$B$2:$B$53 + Settings!$B$4/24) &gt; A329))&gt;0)</f>
        <v>1</v>
      </c>
    </row>
    <row r="330" spans="1:6" ht="15.6" x14ac:dyDescent="0.3">
      <c r="A330" s="1">
        <v>45945.667013888888</v>
      </c>
      <c r="B330">
        <f>--(SUMPRODUCT((Data!$C$2:$C$53="K12C")*((Data!$A$2:$A$53 - Settings!$B$4/24) &lt;= A330)*((Data!$B$2:$B$53 + Settings!$B$4/24) &gt; A330))&gt;0)</f>
        <v>1</v>
      </c>
      <c r="C330">
        <f>--(SUMPRODUCT((Data!$C$2:$C$53="K12A")*((Data!$A$2:$A$53 - Settings!$B$4/24) &lt;= A330)*((Data!$B$2:$B$53 + Settings!$B$4/24) &gt; A330))&gt;0)</f>
        <v>0</v>
      </c>
      <c r="D330">
        <f>--(SUMPRODUCT((Data!$C$2:$C$53="K12")*((Data!$A$2:$A$53 - Settings!$B$4/24) &lt;= A330)*((Data!$B$2:$B$53 + Settings!$B$4/24) &gt; A330))&gt;0)</f>
        <v>0</v>
      </c>
      <c r="E330">
        <f>--(SUMPRODUCT((Data!$C$2:$C$53="K12B")*((Data!$A$2:$A$53 - Settings!$B$4/24) &lt;= A330)*((Data!$B$2:$B$53 + Settings!$B$4/24) &gt; A330))&gt;0)</f>
        <v>0</v>
      </c>
      <c r="F330">
        <f>--(SUMPRODUCT((Data!$C$2:$C$53="TT2")*((Data!$A$2:$A$53 - Settings!$B$4/24) &lt;= A330)*((Data!$B$2:$B$53 + Settings!$B$4/24) &gt; A330))&gt;0)</f>
        <v>1</v>
      </c>
    </row>
    <row r="331" spans="1:6" ht="15.6" x14ac:dyDescent="0.3">
      <c r="A331" s="1">
        <v>45945.708680555559</v>
      </c>
      <c r="B331">
        <f>--(SUMPRODUCT((Data!$C$2:$C$53="K12C")*((Data!$A$2:$A$53 - Settings!$B$4/24) &lt;= A331)*((Data!$B$2:$B$53 + Settings!$B$4/24) &gt; A331))&gt;0)</f>
        <v>1</v>
      </c>
      <c r="C331">
        <f>--(SUMPRODUCT((Data!$C$2:$C$53="K12A")*((Data!$A$2:$A$53 - Settings!$B$4/24) &lt;= A331)*((Data!$B$2:$B$53 + Settings!$B$4/24) &gt; A331))&gt;0)</f>
        <v>0</v>
      </c>
      <c r="D331">
        <f>--(SUMPRODUCT((Data!$C$2:$C$53="K12")*((Data!$A$2:$A$53 - Settings!$B$4/24) &lt;= A331)*((Data!$B$2:$B$53 + Settings!$B$4/24) &gt; A331))&gt;0)</f>
        <v>0</v>
      </c>
      <c r="E331">
        <f>--(SUMPRODUCT((Data!$C$2:$C$53="K12B")*((Data!$A$2:$A$53 - Settings!$B$4/24) &lt;= A331)*((Data!$B$2:$B$53 + Settings!$B$4/24) &gt; A331))&gt;0)</f>
        <v>0</v>
      </c>
      <c r="F331">
        <f>--(SUMPRODUCT((Data!$C$2:$C$53="TT2")*((Data!$A$2:$A$53 - Settings!$B$4/24) &lt;= A331)*((Data!$B$2:$B$53 + Settings!$B$4/24) &gt; A331))&gt;0)</f>
        <v>1</v>
      </c>
    </row>
    <row r="332" spans="1:6" ht="15.6" x14ac:dyDescent="0.3">
      <c r="A332" s="1">
        <v>45945.750347222223</v>
      </c>
      <c r="B332">
        <f>--(SUMPRODUCT((Data!$C$2:$C$53="K12C")*((Data!$A$2:$A$53 - Settings!$B$4/24) &lt;= A332)*((Data!$B$2:$B$53 + Settings!$B$4/24) &gt; A332))&gt;0)</f>
        <v>1</v>
      </c>
      <c r="C332">
        <f>--(SUMPRODUCT((Data!$C$2:$C$53="K12A")*((Data!$A$2:$A$53 - Settings!$B$4/24) &lt;= A332)*((Data!$B$2:$B$53 + Settings!$B$4/24) &gt; A332))&gt;0)</f>
        <v>0</v>
      </c>
      <c r="D332">
        <f>--(SUMPRODUCT((Data!$C$2:$C$53="K12")*((Data!$A$2:$A$53 - Settings!$B$4/24) &lt;= A332)*((Data!$B$2:$B$53 + Settings!$B$4/24) &gt; A332))&gt;0)</f>
        <v>0</v>
      </c>
      <c r="E332">
        <f>--(SUMPRODUCT((Data!$C$2:$C$53="K12B")*((Data!$A$2:$A$53 - Settings!$B$4/24) &lt;= A332)*((Data!$B$2:$B$53 + Settings!$B$4/24) &gt; A332))&gt;0)</f>
        <v>0</v>
      </c>
      <c r="F332">
        <f>--(SUMPRODUCT((Data!$C$2:$C$53="TT2")*((Data!$A$2:$A$53 - Settings!$B$4/24) &lt;= A332)*((Data!$B$2:$B$53 + Settings!$B$4/24) &gt; A332))&gt;0)</f>
        <v>1</v>
      </c>
    </row>
    <row r="333" spans="1:6" ht="15.6" x14ac:dyDescent="0.3">
      <c r="A333" s="1">
        <v>45945.792013888888</v>
      </c>
      <c r="B333">
        <f>--(SUMPRODUCT((Data!$C$2:$C$53="K12C")*((Data!$A$2:$A$53 - Settings!$B$4/24) &lt;= A333)*((Data!$B$2:$B$53 + Settings!$B$4/24) &gt; A333))&gt;0)</f>
        <v>1</v>
      </c>
      <c r="C333">
        <f>--(SUMPRODUCT((Data!$C$2:$C$53="K12A")*((Data!$A$2:$A$53 - Settings!$B$4/24) &lt;= A333)*((Data!$B$2:$B$53 + Settings!$B$4/24) &gt; A333))&gt;0)</f>
        <v>0</v>
      </c>
      <c r="D333">
        <f>--(SUMPRODUCT((Data!$C$2:$C$53="K12")*((Data!$A$2:$A$53 - Settings!$B$4/24) &lt;= A333)*((Data!$B$2:$B$53 + Settings!$B$4/24) &gt; A333))&gt;0)</f>
        <v>0</v>
      </c>
      <c r="E333">
        <f>--(SUMPRODUCT((Data!$C$2:$C$53="K12B")*((Data!$A$2:$A$53 - Settings!$B$4/24) &lt;= A333)*((Data!$B$2:$B$53 + Settings!$B$4/24) &gt; A333))&gt;0)</f>
        <v>0</v>
      </c>
      <c r="F333">
        <f>--(SUMPRODUCT((Data!$C$2:$C$53="TT2")*((Data!$A$2:$A$53 - Settings!$B$4/24) &lt;= A333)*((Data!$B$2:$B$53 + Settings!$B$4/24) &gt; A333))&gt;0)</f>
        <v>1</v>
      </c>
    </row>
    <row r="334" spans="1:6" ht="15.6" x14ac:dyDescent="0.3">
      <c r="A334" s="1">
        <v>45945.833680555559</v>
      </c>
      <c r="B334">
        <f>--(SUMPRODUCT((Data!$C$2:$C$53="K12C")*((Data!$A$2:$A$53 - Settings!$B$4/24) &lt;= A334)*((Data!$B$2:$B$53 + Settings!$B$4/24) &gt; A334))&gt;0)</f>
        <v>1</v>
      </c>
      <c r="C334">
        <f>--(SUMPRODUCT((Data!$C$2:$C$53="K12A")*((Data!$A$2:$A$53 - Settings!$B$4/24) &lt;= A334)*((Data!$B$2:$B$53 + Settings!$B$4/24) &gt; A334))&gt;0)</f>
        <v>0</v>
      </c>
      <c r="D334">
        <f>--(SUMPRODUCT((Data!$C$2:$C$53="K12")*((Data!$A$2:$A$53 - Settings!$B$4/24) &lt;= A334)*((Data!$B$2:$B$53 + Settings!$B$4/24) &gt; A334))&gt;0)</f>
        <v>0</v>
      </c>
      <c r="E334">
        <f>--(SUMPRODUCT((Data!$C$2:$C$53="K12B")*((Data!$A$2:$A$53 - Settings!$B$4/24) &lt;= A334)*((Data!$B$2:$B$53 + Settings!$B$4/24) &gt; A334))&gt;0)</f>
        <v>0</v>
      </c>
      <c r="F334">
        <f>--(SUMPRODUCT((Data!$C$2:$C$53="TT2")*((Data!$A$2:$A$53 - Settings!$B$4/24) &lt;= A334)*((Data!$B$2:$B$53 + Settings!$B$4/24) &gt; A334))&gt;0)</f>
        <v>1</v>
      </c>
    </row>
    <row r="335" spans="1:6" ht="15.6" x14ac:dyDescent="0.3">
      <c r="A335" s="1">
        <v>45945.875347222223</v>
      </c>
      <c r="B335">
        <f>--(SUMPRODUCT((Data!$C$2:$C$53="K12C")*((Data!$A$2:$A$53 - Settings!$B$4/24) &lt;= A335)*((Data!$B$2:$B$53 + Settings!$B$4/24) &gt; A335))&gt;0)</f>
        <v>1</v>
      </c>
      <c r="C335">
        <f>--(SUMPRODUCT((Data!$C$2:$C$53="K12A")*((Data!$A$2:$A$53 - Settings!$B$4/24) &lt;= A335)*((Data!$B$2:$B$53 + Settings!$B$4/24) &gt; A335))&gt;0)</f>
        <v>0</v>
      </c>
      <c r="D335">
        <f>--(SUMPRODUCT((Data!$C$2:$C$53="K12")*((Data!$A$2:$A$53 - Settings!$B$4/24) &lt;= A335)*((Data!$B$2:$B$53 + Settings!$B$4/24) &gt; A335))&gt;0)</f>
        <v>0</v>
      </c>
      <c r="E335">
        <f>--(SUMPRODUCT((Data!$C$2:$C$53="K12B")*((Data!$A$2:$A$53 - Settings!$B$4/24) &lt;= A335)*((Data!$B$2:$B$53 + Settings!$B$4/24) &gt; A335))&gt;0)</f>
        <v>0</v>
      </c>
      <c r="F335">
        <f>--(SUMPRODUCT((Data!$C$2:$C$53="TT2")*((Data!$A$2:$A$53 - Settings!$B$4/24) &lt;= A335)*((Data!$B$2:$B$53 + Settings!$B$4/24) &gt; A335))&gt;0)</f>
        <v>1</v>
      </c>
    </row>
    <row r="336" spans="1:6" ht="15.6" x14ac:dyDescent="0.3">
      <c r="A336" s="1">
        <v>45945.917013888888</v>
      </c>
      <c r="B336">
        <f>--(SUMPRODUCT((Data!$C$2:$C$53="K12C")*((Data!$A$2:$A$53 - Settings!$B$4/24) &lt;= A336)*((Data!$B$2:$B$53 + Settings!$B$4/24) &gt; A336))&gt;0)</f>
        <v>0</v>
      </c>
      <c r="C336">
        <f>--(SUMPRODUCT((Data!$C$2:$C$53="K12A")*((Data!$A$2:$A$53 - Settings!$B$4/24) &lt;= A336)*((Data!$B$2:$B$53 + Settings!$B$4/24) &gt; A336))&gt;0)</f>
        <v>0</v>
      </c>
      <c r="D336">
        <f>--(SUMPRODUCT((Data!$C$2:$C$53="K12")*((Data!$A$2:$A$53 - Settings!$B$4/24) &lt;= A336)*((Data!$B$2:$B$53 + Settings!$B$4/24) &gt; A336))&gt;0)</f>
        <v>1</v>
      </c>
      <c r="E336">
        <f>--(SUMPRODUCT((Data!$C$2:$C$53="K12B")*((Data!$A$2:$A$53 - Settings!$B$4/24) &lt;= A336)*((Data!$B$2:$B$53 + Settings!$B$4/24) &gt; A336))&gt;0)</f>
        <v>0</v>
      </c>
      <c r="F336">
        <f>--(SUMPRODUCT((Data!$C$2:$C$53="TT2")*((Data!$A$2:$A$53 - Settings!$B$4/24) &lt;= A336)*((Data!$B$2:$B$53 + Settings!$B$4/24) &gt; A336))&gt;0)</f>
        <v>1</v>
      </c>
    </row>
    <row r="337" spans="1:6" ht="15.6" x14ac:dyDescent="0.3">
      <c r="A337" s="1">
        <v>45945.958680555559</v>
      </c>
      <c r="B337">
        <f>--(SUMPRODUCT((Data!$C$2:$C$53="K12C")*((Data!$A$2:$A$53 - Settings!$B$4/24) &lt;= A337)*((Data!$B$2:$B$53 + Settings!$B$4/24) &gt; A337))&gt;0)</f>
        <v>0</v>
      </c>
      <c r="C337">
        <f>--(SUMPRODUCT((Data!$C$2:$C$53="K12A")*((Data!$A$2:$A$53 - Settings!$B$4/24) &lt;= A337)*((Data!$B$2:$B$53 + Settings!$B$4/24) &gt; A337))&gt;0)</f>
        <v>0</v>
      </c>
      <c r="D337">
        <f>--(SUMPRODUCT((Data!$C$2:$C$53="K12")*((Data!$A$2:$A$53 - Settings!$B$4/24) &lt;= A337)*((Data!$B$2:$B$53 + Settings!$B$4/24) &gt; A337))&gt;0)</f>
        <v>1</v>
      </c>
      <c r="E337">
        <f>--(SUMPRODUCT((Data!$C$2:$C$53="K12B")*((Data!$A$2:$A$53 - Settings!$B$4/24) &lt;= A337)*((Data!$B$2:$B$53 + Settings!$B$4/24) &gt; A337))&gt;0)</f>
        <v>0</v>
      </c>
      <c r="F337">
        <f>--(SUMPRODUCT((Data!$C$2:$C$53="TT2")*((Data!$A$2:$A$53 - Settings!$B$4/24) &lt;= A337)*((Data!$B$2:$B$53 + Settings!$B$4/24) &gt; A337))&gt;0)</f>
        <v>1</v>
      </c>
    </row>
    <row r="338" spans="1:6" ht="15.6" x14ac:dyDescent="0.3">
      <c r="A338" s="1">
        <v>45946.000347222223</v>
      </c>
      <c r="B338">
        <f>--(SUMPRODUCT((Data!$C$2:$C$53="K12C")*((Data!$A$2:$A$53 - Settings!$B$4/24) &lt;= A338)*((Data!$B$2:$B$53 + Settings!$B$4/24) &gt; A338))&gt;0)</f>
        <v>0</v>
      </c>
      <c r="C338">
        <f>--(SUMPRODUCT((Data!$C$2:$C$53="K12A")*((Data!$A$2:$A$53 - Settings!$B$4/24) &lt;= A338)*((Data!$B$2:$B$53 + Settings!$B$4/24) &gt; A338))&gt;0)</f>
        <v>0</v>
      </c>
      <c r="D338">
        <f>--(SUMPRODUCT((Data!$C$2:$C$53="K12")*((Data!$A$2:$A$53 - Settings!$B$4/24) &lt;= A338)*((Data!$B$2:$B$53 + Settings!$B$4/24) &gt; A338))&gt;0)</f>
        <v>1</v>
      </c>
      <c r="E338">
        <f>--(SUMPRODUCT((Data!$C$2:$C$53="K12B")*((Data!$A$2:$A$53 - Settings!$B$4/24) &lt;= A338)*((Data!$B$2:$B$53 + Settings!$B$4/24) &gt; A338))&gt;0)</f>
        <v>0</v>
      </c>
      <c r="F338">
        <f>--(SUMPRODUCT((Data!$C$2:$C$53="TT2")*((Data!$A$2:$A$53 - Settings!$B$4/24) &lt;= A338)*((Data!$B$2:$B$53 + Settings!$B$4/24) &gt; A338))&gt;0)</f>
        <v>1</v>
      </c>
    </row>
    <row r="339" spans="1:6" ht="15.6" x14ac:dyDescent="0.3">
      <c r="A339" s="1">
        <v>45946.042013888888</v>
      </c>
      <c r="B339">
        <f>--(SUMPRODUCT((Data!$C$2:$C$53="K12C")*((Data!$A$2:$A$53 - Settings!$B$4/24) &lt;= A339)*((Data!$B$2:$B$53 + Settings!$B$4/24) &gt; A339))&gt;0)</f>
        <v>0</v>
      </c>
      <c r="C339">
        <f>--(SUMPRODUCT((Data!$C$2:$C$53="K12A")*((Data!$A$2:$A$53 - Settings!$B$4/24) &lt;= A339)*((Data!$B$2:$B$53 + Settings!$B$4/24) &gt; A339))&gt;0)</f>
        <v>0</v>
      </c>
      <c r="D339">
        <f>--(SUMPRODUCT((Data!$C$2:$C$53="K12")*((Data!$A$2:$A$53 - Settings!$B$4/24) &lt;= A339)*((Data!$B$2:$B$53 + Settings!$B$4/24) &gt; A339))&gt;0)</f>
        <v>1</v>
      </c>
      <c r="E339">
        <f>--(SUMPRODUCT((Data!$C$2:$C$53="K12B")*((Data!$A$2:$A$53 - Settings!$B$4/24) &lt;= A339)*((Data!$B$2:$B$53 + Settings!$B$4/24) &gt; A339))&gt;0)</f>
        <v>0</v>
      </c>
      <c r="F339">
        <f>--(SUMPRODUCT((Data!$C$2:$C$53="TT2")*((Data!$A$2:$A$53 - Settings!$B$4/24) &lt;= A339)*((Data!$B$2:$B$53 + Settings!$B$4/24) &gt; A339))&gt;0)</f>
        <v>1</v>
      </c>
    </row>
    <row r="340" spans="1:6" ht="15.6" x14ac:dyDescent="0.3">
      <c r="A340" s="1">
        <v>45946.083680555559</v>
      </c>
      <c r="B340">
        <f>--(SUMPRODUCT((Data!$C$2:$C$53="K12C")*((Data!$A$2:$A$53 - Settings!$B$4/24) &lt;= A340)*((Data!$B$2:$B$53 + Settings!$B$4/24) &gt; A340))&gt;0)</f>
        <v>0</v>
      </c>
      <c r="C340">
        <f>--(SUMPRODUCT((Data!$C$2:$C$53="K12A")*((Data!$A$2:$A$53 - Settings!$B$4/24) &lt;= A340)*((Data!$B$2:$B$53 + Settings!$B$4/24) &gt; A340))&gt;0)</f>
        <v>0</v>
      </c>
      <c r="D340">
        <f>--(SUMPRODUCT((Data!$C$2:$C$53="K12")*((Data!$A$2:$A$53 - Settings!$B$4/24) &lt;= A340)*((Data!$B$2:$B$53 + Settings!$B$4/24) &gt; A340))&gt;0)</f>
        <v>1</v>
      </c>
      <c r="E340">
        <f>--(SUMPRODUCT((Data!$C$2:$C$53="K12B")*((Data!$A$2:$A$53 - Settings!$B$4/24) &lt;= A340)*((Data!$B$2:$B$53 + Settings!$B$4/24) &gt; A340))&gt;0)</f>
        <v>0</v>
      </c>
      <c r="F340">
        <f>--(SUMPRODUCT((Data!$C$2:$C$53="TT2")*((Data!$A$2:$A$53 - Settings!$B$4/24) &lt;= A340)*((Data!$B$2:$B$53 + Settings!$B$4/24) &gt; A340))&gt;0)</f>
        <v>1</v>
      </c>
    </row>
    <row r="341" spans="1:6" ht="15.6" x14ac:dyDescent="0.3">
      <c r="A341" s="1">
        <v>45946.125347222223</v>
      </c>
      <c r="B341">
        <f>--(SUMPRODUCT((Data!$C$2:$C$53="K12C")*((Data!$A$2:$A$53 - Settings!$B$4/24) &lt;= A341)*((Data!$B$2:$B$53 + Settings!$B$4/24) &gt; A341))&gt;0)</f>
        <v>0</v>
      </c>
      <c r="C341">
        <f>--(SUMPRODUCT((Data!$C$2:$C$53="K12A")*((Data!$A$2:$A$53 - Settings!$B$4/24) &lt;= A341)*((Data!$B$2:$B$53 + Settings!$B$4/24) &gt; A341))&gt;0)</f>
        <v>0</v>
      </c>
      <c r="D341">
        <f>--(SUMPRODUCT((Data!$C$2:$C$53="K12")*((Data!$A$2:$A$53 - Settings!$B$4/24) &lt;= A341)*((Data!$B$2:$B$53 + Settings!$B$4/24) &gt; A341))&gt;0)</f>
        <v>1</v>
      </c>
      <c r="E341">
        <f>--(SUMPRODUCT((Data!$C$2:$C$53="K12B")*((Data!$A$2:$A$53 - Settings!$B$4/24) &lt;= A341)*((Data!$B$2:$B$53 + Settings!$B$4/24) &gt; A341))&gt;0)</f>
        <v>0</v>
      </c>
      <c r="F341">
        <f>--(SUMPRODUCT((Data!$C$2:$C$53="TT2")*((Data!$A$2:$A$53 - Settings!$B$4/24) &lt;= A341)*((Data!$B$2:$B$53 + Settings!$B$4/24) &gt; A341))&gt;0)</f>
        <v>1</v>
      </c>
    </row>
    <row r="342" spans="1:6" ht="15.6" x14ac:dyDescent="0.3">
      <c r="A342" s="1">
        <v>45946.167013888888</v>
      </c>
      <c r="B342">
        <f>--(SUMPRODUCT((Data!$C$2:$C$53="K12C")*((Data!$A$2:$A$53 - Settings!$B$4/24) &lt;= A342)*((Data!$B$2:$B$53 + Settings!$B$4/24) &gt; A342))&gt;0)</f>
        <v>0</v>
      </c>
      <c r="C342">
        <f>--(SUMPRODUCT((Data!$C$2:$C$53="K12A")*((Data!$A$2:$A$53 - Settings!$B$4/24) &lt;= A342)*((Data!$B$2:$B$53 + Settings!$B$4/24) &gt; A342))&gt;0)</f>
        <v>0</v>
      </c>
      <c r="D342">
        <f>--(SUMPRODUCT((Data!$C$2:$C$53="K12")*((Data!$A$2:$A$53 - Settings!$B$4/24) &lt;= A342)*((Data!$B$2:$B$53 + Settings!$B$4/24) &gt; A342))&gt;0)</f>
        <v>1</v>
      </c>
      <c r="E342">
        <f>--(SUMPRODUCT((Data!$C$2:$C$53="K12B")*((Data!$A$2:$A$53 - Settings!$B$4/24) &lt;= A342)*((Data!$B$2:$B$53 + Settings!$B$4/24) &gt; A342))&gt;0)</f>
        <v>0</v>
      </c>
      <c r="F342">
        <f>--(SUMPRODUCT((Data!$C$2:$C$53="TT2")*((Data!$A$2:$A$53 - Settings!$B$4/24) &lt;= A342)*((Data!$B$2:$B$53 + Settings!$B$4/24) &gt; A342))&gt;0)</f>
        <v>1</v>
      </c>
    </row>
    <row r="343" spans="1:6" ht="15.6" x14ac:dyDescent="0.3">
      <c r="A343" s="1">
        <v>45946.208680555559</v>
      </c>
      <c r="B343">
        <f>--(SUMPRODUCT((Data!$C$2:$C$53="K12C")*((Data!$A$2:$A$53 - Settings!$B$4/24) &lt;= A343)*((Data!$B$2:$B$53 + Settings!$B$4/24) &gt; A343))&gt;0)</f>
        <v>0</v>
      </c>
      <c r="C343">
        <f>--(SUMPRODUCT((Data!$C$2:$C$53="K12A")*((Data!$A$2:$A$53 - Settings!$B$4/24) &lt;= A343)*((Data!$B$2:$B$53 + Settings!$B$4/24) &gt; A343))&gt;0)</f>
        <v>0</v>
      </c>
      <c r="D343">
        <f>--(SUMPRODUCT((Data!$C$2:$C$53="K12")*((Data!$A$2:$A$53 - Settings!$B$4/24) &lt;= A343)*((Data!$B$2:$B$53 + Settings!$B$4/24) &gt; A343))&gt;0)</f>
        <v>1</v>
      </c>
      <c r="E343">
        <f>--(SUMPRODUCT((Data!$C$2:$C$53="K12B")*((Data!$A$2:$A$53 - Settings!$B$4/24) &lt;= A343)*((Data!$B$2:$B$53 + Settings!$B$4/24) &gt; A343))&gt;0)</f>
        <v>0</v>
      </c>
      <c r="F343">
        <f>--(SUMPRODUCT((Data!$C$2:$C$53="TT2")*((Data!$A$2:$A$53 - Settings!$B$4/24) &lt;= A343)*((Data!$B$2:$B$53 + Settings!$B$4/24) &gt; A343))&gt;0)</f>
        <v>1</v>
      </c>
    </row>
    <row r="344" spans="1:6" ht="15.6" x14ac:dyDescent="0.3">
      <c r="A344" s="1">
        <v>45946.250347222223</v>
      </c>
      <c r="B344">
        <f>--(SUMPRODUCT((Data!$C$2:$C$53="K12C")*((Data!$A$2:$A$53 - Settings!$B$4/24) &lt;= A344)*((Data!$B$2:$B$53 + Settings!$B$4/24) &gt; A344))&gt;0)</f>
        <v>0</v>
      </c>
      <c r="C344">
        <f>--(SUMPRODUCT((Data!$C$2:$C$53="K12A")*((Data!$A$2:$A$53 - Settings!$B$4/24) &lt;= A344)*((Data!$B$2:$B$53 + Settings!$B$4/24) &gt; A344))&gt;0)</f>
        <v>0</v>
      </c>
      <c r="D344">
        <f>--(SUMPRODUCT((Data!$C$2:$C$53="K12")*((Data!$A$2:$A$53 - Settings!$B$4/24) &lt;= A344)*((Data!$B$2:$B$53 + Settings!$B$4/24) &gt; A344))&gt;0)</f>
        <v>1</v>
      </c>
      <c r="E344">
        <f>--(SUMPRODUCT((Data!$C$2:$C$53="K12B")*((Data!$A$2:$A$53 - Settings!$B$4/24) &lt;= A344)*((Data!$B$2:$B$53 + Settings!$B$4/24) &gt; A344))&gt;0)</f>
        <v>0</v>
      </c>
      <c r="F344">
        <f>--(SUMPRODUCT((Data!$C$2:$C$53="TT2")*((Data!$A$2:$A$53 - Settings!$B$4/24) &lt;= A344)*((Data!$B$2:$B$53 + Settings!$B$4/24) &gt; A344))&gt;0)</f>
        <v>1</v>
      </c>
    </row>
    <row r="345" spans="1:6" ht="15.6" x14ac:dyDescent="0.3">
      <c r="A345" s="1">
        <v>45946.292013888888</v>
      </c>
      <c r="B345">
        <f>--(SUMPRODUCT((Data!$C$2:$C$53="K12C")*((Data!$A$2:$A$53 - Settings!$B$4/24) &lt;= A345)*((Data!$B$2:$B$53 + Settings!$B$4/24) &gt; A345))&gt;0)</f>
        <v>0</v>
      </c>
      <c r="C345">
        <f>--(SUMPRODUCT((Data!$C$2:$C$53="K12A")*((Data!$A$2:$A$53 - Settings!$B$4/24) &lt;= A345)*((Data!$B$2:$B$53 + Settings!$B$4/24) &gt; A345))&gt;0)</f>
        <v>0</v>
      </c>
      <c r="D345">
        <f>--(SUMPRODUCT((Data!$C$2:$C$53="K12")*((Data!$A$2:$A$53 - Settings!$B$4/24) &lt;= A345)*((Data!$B$2:$B$53 + Settings!$B$4/24) &gt; A345))&gt;0)</f>
        <v>1</v>
      </c>
      <c r="E345">
        <f>--(SUMPRODUCT((Data!$C$2:$C$53="K12B")*((Data!$A$2:$A$53 - Settings!$B$4/24) &lt;= A345)*((Data!$B$2:$B$53 + Settings!$B$4/24) &gt; A345))&gt;0)</f>
        <v>0</v>
      </c>
      <c r="F345">
        <f>--(SUMPRODUCT((Data!$C$2:$C$53="TT2")*((Data!$A$2:$A$53 - Settings!$B$4/24) &lt;= A345)*((Data!$B$2:$B$53 + Settings!$B$4/24) &gt; A345))&gt;0)</f>
        <v>1</v>
      </c>
    </row>
    <row r="346" spans="1:6" ht="15.6" x14ac:dyDescent="0.3">
      <c r="A346" s="1">
        <v>45946.333680555559</v>
      </c>
      <c r="B346">
        <f>--(SUMPRODUCT((Data!$C$2:$C$53="K12C")*((Data!$A$2:$A$53 - Settings!$B$4/24) &lt;= A346)*((Data!$B$2:$B$53 + Settings!$B$4/24) &gt; A346))&gt;0)</f>
        <v>0</v>
      </c>
      <c r="C346">
        <f>--(SUMPRODUCT((Data!$C$2:$C$53="K12A")*((Data!$A$2:$A$53 - Settings!$B$4/24) &lt;= A346)*((Data!$B$2:$B$53 + Settings!$B$4/24) &gt; A346))&gt;0)</f>
        <v>0</v>
      </c>
      <c r="D346">
        <f>--(SUMPRODUCT((Data!$C$2:$C$53="K12")*((Data!$A$2:$A$53 - Settings!$B$4/24) &lt;= A346)*((Data!$B$2:$B$53 + Settings!$B$4/24) &gt; A346))&gt;0)</f>
        <v>1</v>
      </c>
      <c r="E346">
        <f>--(SUMPRODUCT((Data!$C$2:$C$53="K12B")*((Data!$A$2:$A$53 - Settings!$B$4/24) &lt;= A346)*((Data!$B$2:$B$53 + Settings!$B$4/24) &gt; A346))&gt;0)</f>
        <v>0</v>
      </c>
      <c r="F346">
        <f>--(SUMPRODUCT((Data!$C$2:$C$53="TT2")*((Data!$A$2:$A$53 - Settings!$B$4/24) &lt;= A346)*((Data!$B$2:$B$53 + Settings!$B$4/24) &gt; A346))&gt;0)</f>
        <v>1</v>
      </c>
    </row>
    <row r="347" spans="1:6" ht="15.6" x14ac:dyDescent="0.3">
      <c r="A347" s="1">
        <v>45946.375347222223</v>
      </c>
      <c r="B347">
        <f>--(SUMPRODUCT((Data!$C$2:$C$53="K12C")*((Data!$A$2:$A$53 - Settings!$B$4/24) &lt;= A347)*((Data!$B$2:$B$53 + Settings!$B$4/24) &gt; A347))&gt;0)</f>
        <v>0</v>
      </c>
      <c r="C347">
        <f>--(SUMPRODUCT((Data!$C$2:$C$53="K12A")*((Data!$A$2:$A$53 - Settings!$B$4/24) &lt;= A347)*((Data!$B$2:$B$53 + Settings!$B$4/24) &gt; A347))&gt;0)</f>
        <v>0</v>
      </c>
      <c r="D347">
        <f>--(SUMPRODUCT((Data!$C$2:$C$53="K12")*((Data!$A$2:$A$53 - Settings!$B$4/24) &lt;= A347)*((Data!$B$2:$B$53 + Settings!$B$4/24) &gt; A347))&gt;0)</f>
        <v>1</v>
      </c>
      <c r="E347">
        <f>--(SUMPRODUCT((Data!$C$2:$C$53="K12B")*((Data!$A$2:$A$53 - Settings!$B$4/24) &lt;= A347)*((Data!$B$2:$B$53 + Settings!$B$4/24) &gt; A347))&gt;0)</f>
        <v>0</v>
      </c>
      <c r="F347">
        <f>--(SUMPRODUCT((Data!$C$2:$C$53="TT2")*((Data!$A$2:$A$53 - Settings!$B$4/24) &lt;= A347)*((Data!$B$2:$B$53 + Settings!$B$4/24) &gt; A347))&gt;0)</f>
        <v>1</v>
      </c>
    </row>
    <row r="348" spans="1:6" ht="15.6" x14ac:dyDescent="0.3">
      <c r="A348" s="1">
        <v>45946.417013888888</v>
      </c>
      <c r="B348">
        <f>--(SUMPRODUCT((Data!$C$2:$C$53="K12C")*((Data!$A$2:$A$53 - Settings!$B$4/24) &lt;= A348)*((Data!$B$2:$B$53 + Settings!$B$4/24) &gt; A348))&gt;0)</f>
        <v>0</v>
      </c>
      <c r="C348">
        <f>--(SUMPRODUCT((Data!$C$2:$C$53="K12A")*((Data!$A$2:$A$53 - Settings!$B$4/24) &lt;= A348)*((Data!$B$2:$B$53 + Settings!$B$4/24) &gt; A348))&gt;0)</f>
        <v>0</v>
      </c>
      <c r="D348">
        <f>--(SUMPRODUCT((Data!$C$2:$C$53="K12")*((Data!$A$2:$A$53 - Settings!$B$4/24) &lt;= A348)*((Data!$B$2:$B$53 + Settings!$B$4/24) &gt; A348))&gt;0)</f>
        <v>1</v>
      </c>
      <c r="E348">
        <f>--(SUMPRODUCT((Data!$C$2:$C$53="K12B")*((Data!$A$2:$A$53 - Settings!$B$4/24) &lt;= A348)*((Data!$B$2:$B$53 + Settings!$B$4/24) &gt; A348))&gt;0)</f>
        <v>1</v>
      </c>
      <c r="F348">
        <f>--(SUMPRODUCT((Data!$C$2:$C$53="TT2")*((Data!$A$2:$A$53 - Settings!$B$4/24) &lt;= A348)*((Data!$B$2:$B$53 + Settings!$B$4/24) &gt; A348))&gt;0)</f>
        <v>1</v>
      </c>
    </row>
    <row r="349" spans="1:6" ht="15.6" x14ac:dyDescent="0.3">
      <c r="A349" s="1">
        <v>45946.458680555559</v>
      </c>
      <c r="B349">
        <f>--(SUMPRODUCT((Data!$C$2:$C$53="K12C")*((Data!$A$2:$A$53 - Settings!$B$4/24) &lt;= A349)*((Data!$B$2:$B$53 + Settings!$B$4/24) &gt; A349))&gt;0)</f>
        <v>0</v>
      </c>
      <c r="C349">
        <f>--(SUMPRODUCT((Data!$C$2:$C$53="K12A")*((Data!$A$2:$A$53 - Settings!$B$4/24) &lt;= A349)*((Data!$B$2:$B$53 + Settings!$B$4/24) &gt; A349))&gt;0)</f>
        <v>0</v>
      </c>
      <c r="D349">
        <f>--(SUMPRODUCT((Data!$C$2:$C$53="K12")*((Data!$A$2:$A$53 - Settings!$B$4/24) &lt;= A349)*((Data!$B$2:$B$53 + Settings!$B$4/24) &gt; A349))&gt;0)</f>
        <v>1</v>
      </c>
      <c r="E349">
        <f>--(SUMPRODUCT((Data!$C$2:$C$53="K12B")*((Data!$A$2:$A$53 - Settings!$B$4/24) &lt;= A349)*((Data!$B$2:$B$53 + Settings!$B$4/24) &gt; A349))&gt;0)</f>
        <v>1</v>
      </c>
      <c r="F349">
        <f>--(SUMPRODUCT((Data!$C$2:$C$53="TT2")*((Data!$A$2:$A$53 - Settings!$B$4/24) &lt;= A349)*((Data!$B$2:$B$53 + Settings!$B$4/24) &gt; A349))&gt;0)</f>
        <v>1</v>
      </c>
    </row>
    <row r="350" spans="1:6" ht="15.6" x14ac:dyDescent="0.3">
      <c r="A350" s="1">
        <v>45946.500347222223</v>
      </c>
      <c r="B350">
        <f>--(SUMPRODUCT((Data!$C$2:$C$53="K12C")*((Data!$A$2:$A$53 - Settings!$B$4/24) &lt;= A350)*((Data!$B$2:$B$53 + Settings!$B$4/24) &gt; A350))&gt;0)</f>
        <v>0</v>
      </c>
      <c r="C350">
        <f>--(SUMPRODUCT((Data!$C$2:$C$53="K12A")*((Data!$A$2:$A$53 - Settings!$B$4/24) &lt;= A350)*((Data!$B$2:$B$53 + Settings!$B$4/24) &gt; A350))&gt;0)</f>
        <v>0</v>
      </c>
      <c r="D350">
        <f>--(SUMPRODUCT((Data!$C$2:$C$53="K12")*((Data!$A$2:$A$53 - Settings!$B$4/24) &lt;= A350)*((Data!$B$2:$B$53 + Settings!$B$4/24) &gt; A350))&gt;0)</f>
        <v>1</v>
      </c>
      <c r="E350">
        <f>--(SUMPRODUCT((Data!$C$2:$C$53="K12B")*((Data!$A$2:$A$53 - Settings!$B$4/24) &lt;= A350)*((Data!$B$2:$B$53 + Settings!$B$4/24) &gt; A350))&gt;0)</f>
        <v>1</v>
      </c>
      <c r="F350">
        <f>--(SUMPRODUCT((Data!$C$2:$C$53="TT2")*((Data!$A$2:$A$53 - Settings!$B$4/24) &lt;= A350)*((Data!$B$2:$B$53 + Settings!$B$4/24) &gt; A350))&gt;0)</f>
        <v>1</v>
      </c>
    </row>
    <row r="351" spans="1:6" ht="15.6" x14ac:dyDescent="0.3">
      <c r="A351" s="1">
        <v>45946.542013888888</v>
      </c>
      <c r="B351">
        <f>--(SUMPRODUCT((Data!$C$2:$C$53="K12C")*((Data!$A$2:$A$53 - Settings!$B$4/24) &lt;= A351)*((Data!$B$2:$B$53 + Settings!$B$4/24) &gt; A351))&gt;0)</f>
        <v>0</v>
      </c>
      <c r="C351">
        <f>--(SUMPRODUCT((Data!$C$2:$C$53="K12A")*((Data!$A$2:$A$53 - Settings!$B$4/24) &lt;= A351)*((Data!$B$2:$B$53 + Settings!$B$4/24) &gt; A351))&gt;0)</f>
        <v>0</v>
      </c>
      <c r="D351">
        <f>--(SUMPRODUCT((Data!$C$2:$C$53="K12")*((Data!$A$2:$A$53 - Settings!$B$4/24) &lt;= A351)*((Data!$B$2:$B$53 + Settings!$B$4/24) &gt; A351))&gt;0)</f>
        <v>1</v>
      </c>
      <c r="E351">
        <f>--(SUMPRODUCT((Data!$C$2:$C$53="K12B")*((Data!$A$2:$A$53 - Settings!$B$4/24) &lt;= A351)*((Data!$B$2:$B$53 + Settings!$B$4/24) &gt; A351))&gt;0)</f>
        <v>1</v>
      </c>
      <c r="F351">
        <f>--(SUMPRODUCT((Data!$C$2:$C$53="TT2")*((Data!$A$2:$A$53 - Settings!$B$4/24) &lt;= A351)*((Data!$B$2:$B$53 + Settings!$B$4/24) &gt; A351))&gt;0)</f>
        <v>1</v>
      </c>
    </row>
    <row r="352" spans="1:6" ht="15.6" x14ac:dyDescent="0.3">
      <c r="A352" s="1">
        <v>45946.583680555559</v>
      </c>
      <c r="B352">
        <f>--(SUMPRODUCT((Data!$C$2:$C$53="K12C")*((Data!$A$2:$A$53 - Settings!$B$4/24) &lt;= A352)*((Data!$B$2:$B$53 + Settings!$B$4/24) &gt; A352))&gt;0)</f>
        <v>0</v>
      </c>
      <c r="C352">
        <f>--(SUMPRODUCT((Data!$C$2:$C$53="K12A")*((Data!$A$2:$A$53 - Settings!$B$4/24) &lt;= A352)*((Data!$B$2:$B$53 + Settings!$B$4/24) &gt; A352))&gt;0)</f>
        <v>0</v>
      </c>
      <c r="D352">
        <f>--(SUMPRODUCT((Data!$C$2:$C$53="K12")*((Data!$A$2:$A$53 - Settings!$B$4/24) &lt;= A352)*((Data!$B$2:$B$53 + Settings!$B$4/24) &gt; A352))&gt;0)</f>
        <v>1</v>
      </c>
      <c r="E352">
        <f>--(SUMPRODUCT((Data!$C$2:$C$53="K12B")*((Data!$A$2:$A$53 - Settings!$B$4/24) &lt;= A352)*((Data!$B$2:$B$53 + Settings!$B$4/24) &gt; A352))&gt;0)</f>
        <v>1</v>
      </c>
      <c r="F352">
        <f>--(SUMPRODUCT((Data!$C$2:$C$53="TT2")*((Data!$A$2:$A$53 - Settings!$B$4/24) &lt;= A352)*((Data!$B$2:$B$53 + Settings!$B$4/24) &gt; A352))&gt;0)</f>
        <v>1</v>
      </c>
    </row>
    <row r="353" spans="1:6" ht="15.6" x14ac:dyDescent="0.3">
      <c r="A353" s="1">
        <v>45946.625347222223</v>
      </c>
      <c r="B353">
        <f>--(SUMPRODUCT((Data!$C$2:$C$53="K12C")*((Data!$A$2:$A$53 - Settings!$B$4/24) &lt;= A353)*((Data!$B$2:$B$53 + Settings!$B$4/24) &gt; A353))&gt;0)</f>
        <v>0</v>
      </c>
      <c r="C353">
        <f>--(SUMPRODUCT((Data!$C$2:$C$53="K12A")*((Data!$A$2:$A$53 - Settings!$B$4/24) &lt;= A353)*((Data!$B$2:$B$53 + Settings!$B$4/24) &gt; A353))&gt;0)</f>
        <v>0</v>
      </c>
      <c r="D353">
        <f>--(SUMPRODUCT((Data!$C$2:$C$53="K12")*((Data!$A$2:$A$53 - Settings!$B$4/24) &lt;= A353)*((Data!$B$2:$B$53 + Settings!$B$4/24) &gt; A353))&gt;0)</f>
        <v>1</v>
      </c>
      <c r="E353">
        <f>--(SUMPRODUCT((Data!$C$2:$C$53="K12B")*((Data!$A$2:$A$53 - Settings!$B$4/24) &lt;= A353)*((Data!$B$2:$B$53 + Settings!$B$4/24) &gt; A353))&gt;0)</f>
        <v>1</v>
      </c>
      <c r="F353">
        <f>--(SUMPRODUCT((Data!$C$2:$C$53="TT2")*((Data!$A$2:$A$53 - Settings!$B$4/24) &lt;= A353)*((Data!$B$2:$B$53 + Settings!$B$4/24) &gt; A353))&gt;0)</f>
        <v>1</v>
      </c>
    </row>
    <row r="354" spans="1:6" ht="15.6" x14ac:dyDescent="0.3">
      <c r="A354" s="1">
        <v>45946.667013888888</v>
      </c>
      <c r="B354">
        <f>--(SUMPRODUCT((Data!$C$2:$C$53="K12C")*((Data!$A$2:$A$53 - Settings!$B$4/24) &lt;= A354)*((Data!$B$2:$B$53 + Settings!$B$4/24) &gt; A354))&gt;0)</f>
        <v>0</v>
      </c>
      <c r="C354">
        <f>--(SUMPRODUCT((Data!$C$2:$C$53="K12A")*((Data!$A$2:$A$53 - Settings!$B$4/24) &lt;= A354)*((Data!$B$2:$B$53 + Settings!$B$4/24) &gt; A354))&gt;0)</f>
        <v>0</v>
      </c>
      <c r="D354">
        <f>--(SUMPRODUCT((Data!$C$2:$C$53="K12")*((Data!$A$2:$A$53 - Settings!$B$4/24) &lt;= A354)*((Data!$B$2:$B$53 + Settings!$B$4/24) &gt; A354))&gt;0)</f>
        <v>1</v>
      </c>
      <c r="E354">
        <f>--(SUMPRODUCT((Data!$C$2:$C$53="K12B")*((Data!$A$2:$A$53 - Settings!$B$4/24) &lt;= A354)*((Data!$B$2:$B$53 + Settings!$B$4/24) &gt; A354))&gt;0)</f>
        <v>1</v>
      </c>
      <c r="F354">
        <f>--(SUMPRODUCT((Data!$C$2:$C$53="TT2")*((Data!$A$2:$A$53 - Settings!$B$4/24) &lt;= A354)*((Data!$B$2:$B$53 + Settings!$B$4/24) &gt; A354))&gt;0)</f>
        <v>1</v>
      </c>
    </row>
    <row r="355" spans="1:6" ht="15.6" x14ac:dyDescent="0.3">
      <c r="A355" s="1">
        <v>45946.708680555559</v>
      </c>
      <c r="B355">
        <f>--(SUMPRODUCT((Data!$C$2:$C$53="K12C")*((Data!$A$2:$A$53 - Settings!$B$4/24) &lt;= A355)*((Data!$B$2:$B$53 + Settings!$B$4/24) &gt; A355))&gt;0)</f>
        <v>0</v>
      </c>
      <c r="C355">
        <f>--(SUMPRODUCT((Data!$C$2:$C$53="K12A")*((Data!$A$2:$A$53 - Settings!$B$4/24) &lt;= A355)*((Data!$B$2:$B$53 + Settings!$B$4/24) &gt; A355))&gt;0)</f>
        <v>0</v>
      </c>
      <c r="D355">
        <f>--(SUMPRODUCT((Data!$C$2:$C$53="K12")*((Data!$A$2:$A$53 - Settings!$B$4/24) &lt;= A355)*((Data!$B$2:$B$53 + Settings!$B$4/24) &gt; A355))&gt;0)</f>
        <v>1</v>
      </c>
      <c r="E355">
        <f>--(SUMPRODUCT((Data!$C$2:$C$53="K12B")*((Data!$A$2:$A$53 - Settings!$B$4/24) &lt;= A355)*((Data!$B$2:$B$53 + Settings!$B$4/24) &gt; A355))&gt;0)</f>
        <v>1</v>
      </c>
      <c r="F355">
        <f>--(SUMPRODUCT((Data!$C$2:$C$53="TT2")*((Data!$A$2:$A$53 - Settings!$B$4/24) &lt;= A355)*((Data!$B$2:$B$53 + Settings!$B$4/24) &gt; A355))&gt;0)</f>
        <v>0</v>
      </c>
    </row>
    <row r="356" spans="1:6" ht="15.6" x14ac:dyDescent="0.3">
      <c r="A356" s="1">
        <v>45946.750347222223</v>
      </c>
      <c r="B356">
        <f>--(SUMPRODUCT((Data!$C$2:$C$53="K12C")*((Data!$A$2:$A$53 - Settings!$B$4/24) &lt;= A356)*((Data!$B$2:$B$53 + Settings!$B$4/24) &gt; A356))&gt;0)</f>
        <v>0</v>
      </c>
      <c r="C356">
        <f>--(SUMPRODUCT((Data!$C$2:$C$53="K12A")*((Data!$A$2:$A$53 - Settings!$B$4/24) &lt;= A356)*((Data!$B$2:$B$53 + Settings!$B$4/24) &gt; A356))&gt;0)</f>
        <v>0</v>
      </c>
      <c r="D356">
        <f>--(SUMPRODUCT((Data!$C$2:$C$53="K12")*((Data!$A$2:$A$53 - Settings!$B$4/24) &lt;= A356)*((Data!$B$2:$B$53 + Settings!$B$4/24) &gt; A356))&gt;0)</f>
        <v>1</v>
      </c>
      <c r="E356">
        <f>--(SUMPRODUCT((Data!$C$2:$C$53="K12B")*((Data!$A$2:$A$53 - Settings!$B$4/24) &lt;= A356)*((Data!$B$2:$B$53 + Settings!$B$4/24) &gt; A356))&gt;0)</f>
        <v>1</v>
      </c>
      <c r="F356">
        <f>--(SUMPRODUCT((Data!$C$2:$C$53="TT2")*((Data!$A$2:$A$53 - Settings!$B$4/24) &lt;= A356)*((Data!$B$2:$B$53 + Settings!$B$4/24) &gt; A356))&gt;0)</f>
        <v>0</v>
      </c>
    </row>
    <row r="357" spans="1:6" ht="15.6" x14ac:dyDescent="0.3">
      <c r="A357" s="1">
        <v>45946.792013888888</v>
      </c>
      <c r="B357">
        <f>--(SUMPRODUCT((Data!$C$2:$C$53="K12C")*((Data!$A$2:$A$53 - Settings!$B$4/24) &lt;= A357)*((Data!$B$2:$B$53 + Settings!$B$4/24) &gt; A357))&gt;0)</f>
        <v>0</v>
      </c>
      <c r="C357">
        <f>--(SUMPRODUCT((Data!$C$2:$C$53="K12A")*((Data!$A$2:$A$53 - Settings!$B$4/24) &lt;= A357)*((Data!$B$2:$B$53 + Settings!$B$4/24) &gt; A357))&gt;0)</f>
        <v>0</v>
      </c>
      <c r="D357">
        <f>--(SUMPRODUCT((Data!$C$2:$C$53="K12")*((Data!$A$2:$A$53 - Settings!$B$4/24) &lt;= A357)*((Data!$B$2:$B$53 + Settings!$B$4/24) &gt; A357))&gt;0)</f>
        <v>1</v>
      </c>
      <c r="E357">
        <f>--(SUMPRODUCT((Data!$C$2:$C$53="K12B")*((Data!$A$2:$A$53 - Settings!$B$4/24) &lt;= A357)*((Data!$B$2:$B$53 + Settings!$B$4/24) &gt; A357))&gt;0)</f>
        <v>1</v>
      </c>
      <c r="F357">
        <f>--(SUMPRODUCT((Data!$C$2:$C$53="TT2")*((Data!$A$2:$A$53 - Settings!$B$4/24) &lt;= A357)*((Data!$B$2:$B$53 + Settings!$B$4/24) &gt; A357))&gt;0)</f>
        <v>0</v>
      </c>
    </row>
    <row r="358" spans="1:6" ht="15.6" x14ac:dyDescent="0.3">
      <c r="A358" s="1">
        <v>45946.833680555559</v>
      </c>
      <c r="B358">
        <f>--(SUMPRODUCT((Data!$C$2:$C$53="K12C")*((Data!$A$2:$A$53 - Settings!$B$4/24) &lt;= A358)*((Data!$B$2:$B$53 + Settings!$B$4/24) &gt; A358))&gt;0)</f>
        <v>0</v>
      </c>
      <c r="C358">
        <f>--(SUMPRODUCT((Data!$C$2:$C$53="K12A")*((Data!$A$2:$A$53 - Settings!$B$4/24) &lt;= A358)*((Data!$B$2:$B$53 + Settings!$B$4/24) &gt; A358))&gt;0)</f>
        <v>0</v>
      </c>
      <c r="D358">
        <f>--(SUMPRODUCT((Data!$C$2:$C$53="K12")*((Data!$A$2:$A$53 - Settings!$B$4/24) &lt;= A358)*((Data!$B$2:$B$53 + Settings!$B$4/24) &gt; A358))&gt;0)</f>
        <v>1</v>
      </c>
      <c r="E358">
        <f>--(SUMPRODUCT((Data!$C$2:$C$53="K12B")*((Data!$A$2:$A$53 - Settings!$B$4/24) &lt;= A358)*((Data!$B$2:$B$53 + Settings!$B$4/24) &gt; A358))&gt;0)</f>
        <v>1</v>
      </c>
      <c r="F358">
        <f>--(SUMPRODUCT((Data!$C$2:$C$53="TT2")*((Data!$A$2:$A$53 - Settings!$B$4/24) &lt;= A358)*((Data!$B$2:$B$53 + Settings!$B$4/24) &gt; A358))&gt;0)</f>
        <v>0</v>
      </c>
    </row>
    <row r="359" spans="1:6" ht="15.6" x14ac:dyDescent="0.3">
      <c r="A359" s="1">
        <v>45946.875347222223</v>
      </c>
      <c r="B359">
        <f>--(SUMPRODUCT((Data!$C$2:$C$53="K12C")*((Data!$A$2:$A$53 - Settings!$B$4/24) &lt;= A359)*((Data!$B$2:$B$53 + Settings!$B$4/24) &gt; A359))&gt;0)</f>
        <v>0</v>
      </c>
      <c r="C359">
        <f>--(SUMPRODUCT((Data!$C$2:$C$53="K12A")*((Data!$A$2:$A$53 - Settings!$B$4/24) &lt;= A359)*((Data!$B$2:$B$53 + Settings!$B$4/24) &gt; A359))&gt;0)</f>
        <v>0</v>
      </c>
      <c r="D359">
        <f>--(SUMPRODUCT((Data!$C$2:$C$53="K12")*((Data!$A$2:$A$53 - Settings!$B$4/24) &lt;= A359)*((Data!$B$2:$B$53 + Settings!$B$4/24) &gt; A359))&gt;0)</f>
        <v>1</v>
      </c>
      <c r="E359">
        <f>--(SUMPRODUCT((Data!$C$2:$C$53="K12B")*((Data!$A$2:$A$53 - Settings!$B$4/24) &lt;= A359)*((Data!$B$2:$B$53 + Settings!$B$4/24) &gt; A359))&gt;0)</f>
        <v>1</v>
      </c>
      <c r="F359">
        <f>--(SUMPRODUCT((Data!$C$2:$C$53="TT2")*((Data!$A$2:$A$53 - Settings!$B$4/24) &lt;= A359)*((Data!$B$2:$B$53 + Settings!$B$4/24) &gt; A359))&gt;0)</f>
        <v>0</v>
      </c>
    </row>
    <row r="360" spans="1:6" ht="15.6" x14ac:dyDescent="0.3">
      <c r="A360" s="1">
        <v>45946.917013888888</v>
      </c>
      <c r="B360">
        <f>--(SUMPRODUCT((Data!$C$2:$C$53="K12C")*((Data!$A$2:$A$53 - Settings!$B$4/24) &lt;= A360)*((Data!$B$2:$B$53 + Settings!$B$4/24) &gt; A360))&gt;0)</f>
        <v>0</v>
      </c>
      <c r="C360">
        <f>--(SUMPRODUCT((Data!$C$2:$C$53="K12A")*((Data!$A$2:$A$53 - Settings!$B$4/24) &lt;= A360)*((Data!$B$2:$B$53 + Settings!$B$4/24) &gt; A360))&gt;0)</f>
        <v>0</v>
      </c>
      <c r="D360">
        <f>--(SUMPRODUCT((Data!$C$2:$C$53="K12")*((Data!$A$2:$A$53 - Settings!$B$4/24) &lt;= A360)*((Data!$B$2:$B$53 + Settings!$B$4/24) &gt; A360))&gt;0)</f>
        <v>1</v>
      </c>
      <c r="E360">
        <f>--(SUMPRODUCT((Data!$C$2:$C$53="K12B")*((Data!$A$2:$A$53 - Settings!$B$4/24) &lt;= A360)*((Data!$B$2:$B$53 + Settings!$B$4/24) &gt; A360))&gt;0)</f>
        <v>1</v>
      </c>
      <c r="F360">
        <f>--(SUMPRODUCT((Data!$C$2:$C$53="TT2")*((Data!$A$2:$A$53 - Settings!$B$4/24) &lt;= A360)*((Data!$B$2:$B$53 + Settings!$B$4/24) &gt; A360))&gt;0)</f>
        <v>0</v>
      </c>
    </row>
    <row r="361" spans="1:6" ht="15.6" x14ac:dyDescent="0.3">
      <c r="A361" s="1">
        <v>45946.958680555559</v>
      </c>
      <c r="B361">
        <f>--(SUMPRODUCT((Data!$C$2:$C$53="K12C")*((Data!$A$2:$A$53 - Settings!$B$4/24) &lt;= A361)*((Data!$B$2:$B$53 + Settings!$B$4/24) &gt; A361))&gt;0)</f>
        <v>0</v>
      </c>
      <c r="C361">
        <f>--(SUMPRODUCT((Data!$C$2:$C$53="K12A")*((Data!$A$2:$A$53 - Settings!$B$4/24) &lt;= A361)*((Data!$B$2:$B$53 + Settings!$B$4/24) &gt; A361))&gt;0)</f>
        <v>0</v>
      </c>
      <c r="D361">
        <f>--(SUMPRODUCT((Data!$C$2:$C$53="K12")*((Data!$A$2:$A$53 - Settings!$B$4/24) &lt;= A361)*((Data!$B$2:$B$53 + Settings!$B$4/24) &gt; A361))&gt;0)</f>
        <v>1</v>
      </c>
      <c r="E361">
        <f>--(SUMPRODUCT((Data!$C$2:$C$53="K12B")*((Data!$A$2:$A$53 - Settings!$B$4/24) &lt;= A361)*((Data!$B$2:$B$53 + Settings!$B$4/24) &gt; A361))&gt;0)</f>
        <v>0</v>
      </c>
      <c r="F361">
        <f>--(SUMPRODUCT((Data!$C$2:$C$53="TT2")*((Data!$A$2:$A$53 - Settings!$B$4/24) &lt;= A361)*((Data!$B$2:$B$53 + Settings!$B$4/24) &gt; A361))&gt;0)</f>
        <v>0</v>
      </c>
    </row>
    <row r="362" spans="1:6" ht="15.6" x14ac:dyDescent="0.3">
      <c r="A362" s="1">
        <v>45947.000347222223</v>
      </c>
      <c r="B362">
        <f>--(SUMPRODUCT((Data!$C$2:$C$53="K12C")*((Data!$A$2:$A$53 - Settings!$B$4/24) &lt;= A362)*((Data!$B$2:$B$53 + Settings!$B$4/24) &gt; A362))&gt;0)</f>
        <v>0</v>
      </c>
      <c r="C362">
        <f>--(SUMPRODUCT((Data!$C$2:$C$53="K12A")*((Data!$A$2:$A$53 - Settings!$B$4/24) &lt;= A362)*((Data!$B$2:$B$53 + Settings!$B$4/24) &gt; A362))&gt;0)</f>
        <v>0</v>
      </c>
      <c r="D362">
        <f>--(SUMPRODUCT((Data!$C$2:$C$53="K12")*((Data!$A$2:$A$53 - Settings!$B$4/24) &lt;= A362)*((Data!$B$2:$B$53 + Settings!$B$4/24) &gt; A362))&gt;0)</f>
        <v>1</v>
      </c>
      <c r="E362">
        <f>--(SUMPRODUCT((Data!$C$2:$C$53="K12B")*((Data!$A$2:$A$53 - Settings!$B$4/24) &lt;= A362)*((Data!$B$2:$B$53 + Settings!$B$4/24) &gt; A362))&gt;0)</f>
        <v>0</v>
      </c>
      <c r="F362">
        <f>--(SUMPRODUCT((Data!$C$2:$C$53="TT2")*((Data!$A$2:$A$53 - Settings!$B$4/24) &lt;= A362)*((Data!$B$2:$B$53 + Settings!$B$4/24) &gt; A362))&gt;0)</f>
        <v>0</v>
      </c>
    </row>
    <row r="363" spans="1:6" ht="15.6" x14ac:dyDescent="0.3">
      <c r="A363" s="1">
        <v>45947.042013888888</v>
      </c>
      <c r="B363">
        <f>--(SUMPRODUCT((Data!$C$2:$C$53="K12C")*((Data!$A$2:$A$53 - Settings!$B$4/24) &lt;= A363)*((Data!$B$2:$B$53 + Settings!$B$4/24) &gt; A363))&gt;0)</f>
        <v>0</v>
      </c>
      <c r="C363">
        <f>--(SUMPRODUCT((Data!$C$2:$C$53="K12A")*((Data!$A$2:$A$53 - Settings!$B$4/24) &lt;= A363)*((Data!$B$2:$B$53 + Settings!$B$4/24) &gt; A363))&gt;0)</f>
        <v>0</v>
      </c>
      <c r="D363">
        <f>--(SUMPRODUCT((Data!$C$2:$C$53="K12")*((Data!$A$2:$A$53 - Settings!$B$4/24) &lt;= A363)*((Data!$B$2:$B$53 + Settings!$B$4/24) &gt; A363))&gt;0)</f>
        <v>1</v>
      </c>
      <c r="E363">
        <f>--(SUMPRODUCT((Data!$C$2:$C$53="K12B")*((Data!$A$2:$A$53 - Settings!$B$4/24) &lt;= A363)*((Data!$B$2:$B$53 + Settings!$B$4/24) &gt; A363))&gt;0)</f>
        <v>0</v>
      </c>
      <c r="F363">
        <f>--(SUMPRODUCT((Data!$C$2:$C$53="TT2")*((Data!$A$2:$A$53 - Settings!$B$4/24) &lt;= A363)*((Data!$B$2:$B$53 + Settings!$B$4/24) &gt; A363))&gt;0)</f>
        <v>0</v>
      </c>
    </row>
    <row r="364" spans="1:6" ht="15.6" x14ac:dyDescent="0.3">
      <c r="A364" s="1">
        <v>45947.083680555559</v>
      </c>
      <c r="B364">
        <f>--(SUMPRODUCT((Data!$C$2:$C$53="K12C")*((Data!$A$2:$A$53 - Settings!$B$4/24) &lt;= A364)*((Data!$B$2:$B$53 + Settings!$B$4/24) &gt; A364))&gt;0)</f>
        <v>0</v>
      </c>
      <c r="C364">
        <f>--(SUMPRODUCT((Data!$C$2:$C$53="K12A")*((Data!$A$2:$A$53 - Settings!$B$4/24) &lt;= A364)*((Data!$B$2:$B$53 + Settings!$B$4/24) &gt; A364))&gt;0)</f>
        <v>0</v>
      </c>
      <c r="D364">
        <f>--(SUMPRODUCT((Data!$C$2:$C$53="K12")*((Data!$A$2:$A$53 - Settings!$B$4/24) &lt;= A364)*((Data!$B$2:$B$53 + Settings!$B$4/24) &gt; A364))&gt;0)</f>
        <v>1</v>
      </c>
      <c r="E364">
        <f>--(SUMPRODUCT((Data!$C$2:$C$53="K12B")*((Data!$A$2:$A$53 - Settings!$B$4/24) &lt;= A364)*((Data!$B$2:$B$53 + Settings!$B$4/24) &gt; A364))&gt;0)</f>
        <v>0</v>
      </c>
      <c r="F364">
        <f>--(SUMPRODUCT((Data!$C$2:$C$53="TT2")*((Data!$A$2:$A$53 - Settings!$B$4/24) &lt;= A364)*((Data!$B$2:$B$53 + Settings!$B$4/24) &gt; A364))&gt;0)</f>
        <v>0</v>
      </c>
    </row>
    <row r="365" spans="1:6" ht="15.6" x14ac:dyDescent="0.3">
      <c r="A365" s="1">
        <v>45947.125347222223</v>
      </c>
      <c r="B365">
        <f>--(SUMPRODUCT((Data!$C$2:$C$53="K12C")*((Data!$A$2:$A$53 - Settings!$B$4/24) &lt;= A365)*((Data!$B$2:$B$53 + Settings!$B$4/24) &gt; A365))&gt;0)</f>
        <v>0</v>
      </c>
      <c r="C365">
        <f>--(SUMPRODUCT((Data!$C$2:$C$53="K12A")*((Data!$A$2:$A$53 - Settings!$B$4/24) &lt;= A365)*((Data!$B$2:$B$53 + Settings!$B$4/24) &gt; A365))&gt;0)</f>
        <v>0</v>
      </c>
      <c r="D365">
        <f>--(SUMPRODUCT((Data!$C$2:$C$53="K12")*((Data!$A$2:$A$53 - Settings!$B$4/24) &lt;= A365)*((Data!$B$2:$B$53 + Settings!$B$4/24) &gt; A365))&gt;0)</f>
        <v>1</v>
      </c>
      <c r="E365">
        <f>--(SUMPRODUCT((Data!$C$2:$C$53="K12B")*((Data!$A$2:$A$53 - Settings!$B$4/24) &lt;= A365)*((Data!$B$2:$B$53 + Settings!$B$4/24) &gt; A365))&gt;0)</f>
        <v>0</v>
      </c>
      <c r="F365">
        <f>--(SUMPRODUCT((Data!$C$2:$C$53="TT2")*((Data!$A$2:$A$53 - Settings!$B$4/24) &lt;= A365)*((Data!$B$2:$B$53 + Settings!$B$4/24) &gt; A365))&gt;0)</f>
        <v>0</v>
      </c>
    </row>
    <row r="366" spans="1:6" ht="15.6" x14ac:dyDescent="0.3">
      <c r="A366" s="1">
        <v>45947.167013888888</v>
      </c>
      <c r="B366">
        <f>--(SUMPRODUCT((Data!$C$2:$C$53="K12C")*((Data!$A$2:$A$53 - Settings!$B$4/24) &lt;= A366)*((Data!$B$2:$B$53 + Settings!$B$4/24) &gt; A366))&gt;0)</f>
        <v>0</v>
      </c>
      <c r="C366">
        <f>--(SUMPRODUCT((Data!$C$2:$C$53="K12A")*((Data!$A$2:$A$53 - Settings!$B$4/24) &lt;= A366)*((Data!$B$2:$B$53 + Settings!$B$4/24) &gt; A366))&gt;0)</f>
        <v>0</v>
      </c>
      <c r="D366">
        <f>--(SUMPRODUCT((Data!$C$2:$C$53="K12")*((Data!$A$2:$A$53 - Settings!$B$4/24) &lt;= A366)*((Data!$B$2:$B$53 + Settings!$B$4/24) &gt; A366))&gt;0)</f>
        <v>1</v>
      </c>
      <c r="E366">
        <f>--(SUMPRODUCT((Data!$C$2:$C$53="K12B")*((Data!$A$2:$A$53 - Settings!$B$4/24) &lt;= A366)*((Data!$B$2:$B$53 + Settings!$B$4/24) &gt; A366))&gt;0)</f>
        <v>0</v>
      </c>
      <c r="F366">
        <f>--(SUMPRODUCT((Data!$C$2:$C$53="TT2")*((Data!$A$2:$A$53 - Settings!$B$4/24) &lt;= A366)*((Data!$B$2:$B$53 + Settings!$B$4/24) &gt; A366))&gt;0)</f>
        <v>0</v>
      </c>
    </row>
    <row r="367" spans="1:6" ht="15.6" x14ac:dyDescent="0.3">
      <c r="A367" s="1">
        <v>45947.208680555559</v>
      </c>
      <c r="B367">
        <f>--(SUMPRODUCT((Data!$C$2:$C$53="K12C")*((Data!$A$2:$A$53 - Settings!$B$4/24) &lt;= A367)*((Data!$B$2:$B$53 + Settings!$B$4/24) &gt; A367))&gt;0)</f>
        <v>0</v>
      </c>
      <c r="C367">
        <f>--(SUMPRODUCT((Data!$C$2:$C$53="K12A")*((Data!$A$2:$A$53 - Settings!$B$4/24) &lt;= A367)*((Data!$B$2:$B$53 + Settings!$B$4/24) &gt; A367))&gt;0)</f>
        <v>0</v>
      </c>
      <c r="D367">
        <f>--(SUMPRODUCT((Data!$C$2:$C$53="K12")*((Data!$A$2:$A$53 - Settings!$B$4/24) &lt;= A367)*((Data!$B$2:$B$53 + Settings!$B$4/24) &gt; A367))&gt;0)</f>
        <v>1</v>
      </c>
      <c r="E367">
        <f>--(SUMPRODUCT((Data!$C$2:$C$53="K12B")*((Data!$A$2:$A$53 - Settings!$B$4/24) &lt;= A367)*((Data!$B$2:$B$53 + Settings!$B$4/24) &gt; A367))&gt;0)</f>
        <v>0</v>
      </c>
      <c r="F367">
        <f>--(SUMPRODUCT((Data!$C$2:$C$53="TT2")*((Data!$A$2:$A$53 - Settings!$B$4/24) &lt;= A367)*((Data!$B$2:$B$53 + Settings!$B$4/24) &gt; A367))&gt;0)</f>
        <v>0</v>
      </c>
    </row>
    <row r="368" spans="1:6" ht="15.6" x14ac:dyDescent="0.3">
      <c r="A368" s="1">
        <v>45947.250347222223</v>
      </c>
      <c r="B368">
        <f>--(SUMPRODUCT((Data!$C$2:$C$53="K12C")*((Data!$A$2:$A$53 - Settings!$B$4/24) &lt;= A368)*((Data!$B$2:$B$53 + Settings!$B$4/24) &gt; A368))&gt;0)</f>
        <v>0</v>
      </c>
      <c r="C368">
        <f>--(SUMPRODUCT((Data!$C$2:$C$53="K12A")*((Data!$A$2:$A$53 - Settings!$B$4/24) &lt;= A368)*((Data!$B$2:$B$53 + Settings!$B$4/24) &gt; A368))&gt;0)</f>
        <v>0</v>
      </c>
      <c r="D368">
        <f>--(SUMPRODUCT((Data!$C$2:$C$53="K12")*((Data!$A$2:$A$53 - Settings!$B$4/24) &lt;= A368)*((Data!$B$2:$B$53 + Settings!$B$4/24) &gt; A368))&gt;0)</f>
        <v>1</v>
      </c>
      <c r="E368">
        <f>--(SUMPRODUCT((Data!$C$2:$C$53="K12B")*((Data!$A$2:$A$53 - Settings!$B$4/24) &lt;= A368)*((Data!$B$2:$B$53 + Settings!$B$4/24) &gt; A368))&gt;0)</f>
        <v>0</v>
      </c>
      <c r="F368">
        <f>--(SUMPRODUCT((Data!$C$2:$C$53="TT2")*((Data!$A$2:$A$53 - Settings!$B$4/24) &lt;= A368)*((Data!$B$2:$B$53 + Settings!$B$4/24) &gt; A368))&gt;0)</f>
        <v>0</v>
      </c>
    </row>
    <row r="369" spans="1:6" ht="15.6" x14ac:dyDescent="0.3">
      <c r="A369" s="1">
        <v>45947.292013888888</v>
      </c>
      <c r="B369">
        <f>--(SUMPRODUCT((Data!$C$2:$C$53="K12C")*((Data!$A$2:$A$53 - Settings!$B$4/24) &lt;= A369)*((Data!$B$2:$B$53 + Settings!$B$4/24) &gt; A369))&gt;0)</f>
        <v>0</v>
      </c>
      <c r="C369">
        <f>--(SUMPRODUCT((Data!$C$2:$C$53="K12A")*((Data!$A$2:$A$53 - Settings!$B$4/24) &lt;= A369)*((Data!$B$2:$B$53 + Settings!$B$4/24) &gt; A369))&gt;0)</f>
        <v>0</v>
      </c>
      <c r="D369">
        <f>--(SUMPRODUCT((Data!$C$2:$C$53="K12")*((Data!$A$2:$A$53 - Settings!$B$4/24) &lt;= A369)*((Data!$B$2:$B$53 + Settings!$B$4/24) &gt; A369))&gt;0)</f>
        <v>1</v>
      </c>
      <c r="E369">
        <f>--(SUMPRODUCT((Data!$C$2:$C$53="K12B")*((Data!$A$2:$A$53 - Settings!$B$4/24) &lt;= A369)*((Data!$B$2:$B$53 + Settings!$B$4/24) &gt; A369))&gt;0)</f>
        <v>0</v>
      </c>
      <c r="F369">
        <f>--(SUMPRODUCT((Data!$C$2:$C$53="TT2")*((Data!$A$2:$A$53 - Settings!$B$4/24) &lt;= A369)*((Data!$B$2:$B$53 + Settings!$B$4/24) &gt; A369))&gt;0)</f>
        <v>0</v>
      </c>
    </row>
    <row r="370" spans="1:6" ht="15.6" x14ac:dyDescent="0.3">
      <c r="A370" s="1">
        <v>45947.333680555559</v>
      </c>
      <c r="B370">
        <f>--(SUMPRODUCT((Data!$C$2:$C$53="K12C")*((Data!$A$2:$A$53 - Settings!$B$4/24) &lt;= A370)*((Data!$B$2:$B$53 + Settings!$B$4/24) &gt; A370))&gt;0)</f>
        <v>0</v>
      </c>
      <c r="C370">
        <f>--(SUMPRODUCT((Data!$C$2:$C$53="K12A")*((Data!$A$2:$A$53 - Settings!$B$4/24) &lt;= A370)*((Data!$B$2:$B$53 + Settings!$B$4/24) &gt; A370))&gt;0)</f>
        <v>0</v>
      </c>
      <c r="D370">
        <f>--(SUMPRODUCT((Data!$C$2:$C$53="K12")*((Data!$A$2:$A$53 - Settings!$B$4/24) &lt;= A370)*((Data!$B$2:$B$53 + Settings!$B$4/24) &gt; A370))&gt;0)</f>
        <v>1</v>
      </c>
      <c r="E370">
        <f>--(SUMPRODUCT((Data!$C$2:$C$53="K12B")*((Data!$A$2:$A$53 - Settings!$B$4/24) &lt;= A370)*((Data!$B$2:$B$53 + Settings!$B$4/24) &gt; A370))&gt;0)</f>
        <v>0</v>
      </c>
      <c r="F370">
        <f>--(SUMPRODUCT((Data!$C$2:$C$53="TT2")*((Data!$A$2:$A$53 - Settings!$B$4/24) &lt;= A370)*((Data!$B$2:$B$53 + Settings!$B$4/24) &gt; A370))&gt;0)</f>
        <v>0</v>
      </c>
    </row>
    <row r="371" spans="1:6" ht="15.6" x14ac:dyDescent="0.3">
      <c r="A371" s="1">
        <v>45947.375347222223</v>
      </c>
      <c r="B371">
        <f>--(SUMPRODUCT((Data!$C$2:$C$53="K12C")*((Data!$A$2:$A$53 - Settings!$B$4/24) &lt;= A371)*((Data!$B$2:$B$53 + Settings!$B$4/24) &gt; A371))&gt;0)</f>
        <v>0</v>
      </c>
      <c r="C371">
        <f>--(SUMPRODUCT((Data!$C$2:$C$53="K12A")*((Data!$A$2:$A$53 - Settings!$B$4/24) &lt;= A371)*((Data!$B$2:$B$53 + Settings!$B$4/24) &gt; A371))&gt;0)</f>
        <v>0</v>
      </c>
      <c r="D371">
        <f>--(SUMPRODUCT((Data!$C$2:$C$53="K12")*((Data!$A$2:$A$53 - Settings!$B$4/24) &lt;= A371)*((Data!$B$2:$B$53 + Settings!$B$4/24) &gt; A371))&gt;0)</f>
        <v>1</v>
      </c>
      <c r="E371">
        <f>--(SUMPRODUCT((Data!$C$2:$C$53="K12B")*((Data!$A$2:$A$53 - Settings!$B$4/24) &lt;= A371)*((Data!$B$2:$B$53 + Settings!$B$4/24) &gt; A371))&gt;0)</f>
        <v>0</v>
      </c>
      <c r="F371">
        <f>--(SUMPRODUCT((Data!$C$2:$C$53="TT2")*((Data!$A$2:$A$53 - Settings!$B$4/24) &lt;= A371)*((Data!$B$2:$B$53 + Settings!$B$4/24) &gt; A371))&gt;0)</f>
        <v>0</v>
      </c>
    </row>
    <row r="372" spans="1:6" ht="15.6" x14ac:dyDescent="0.3">
      <c r="A372" s="1">
        <v>45947.417013888888</v>
      </c>
      <c r="B372">
        <f>--(SUMPRODUCT((Data!$C$2:$C$53="K12C")*((Data!$A$2:$A$53 - Settings!$B$4/24) &lt;= A372)*((Data!$B$2:$B$53 + Settings!$B$4/24) &gt; A372))&gt;0)</f>
        <v>0</v>
      </c>
      <c r="C372">
        <f>--(SUMPRODUCT((Data!$C$2:$C$53="K12A")*((Data!$A$2:$A$53 - Settings!$B$4/24) &lt;= A372)*((Data!$B$2:$B$53 + Settings!$B$4/24) &gt; A372))&gt;0)</f>
        <v>0</v>
      </c>
      <c r="D372">
        <f>--(SUMPRODUCT((Data!$C$2:$C$53="K12")*((Data!$A$2:$A$53 - Settings!$B$4/24) &lt;= A372)*((Data!$B$2:$B$53 + Settings!$B$4/24) &gt; A372))&gt;0)</f>
        <v>1</v>
      </c>
      <c r="E372">
        <f>--(SUMPRODUCT((Data!$C$2:$C$53="K12B")*((Data!$A$2:$A$53 - Settings!$B$4/24) &lt;= A372)*((Data!$B$2:$B$53 + Settings!$B$4/24) &gt; A372))&gt;0)</f>
        <v>0</v>
      </c>
      <c r="F372">
        <f>--(SUMPRODUCT((Data!$C$2:$C$53="TT2")*((Data!$A$2:$A$53 - Settings!$B$4/24) &lt;= A372)*((Data!$B$2:$B$53 + Settings!$B$4/24) &gt; A372))&gt;0)</f>
        <v>0</v>
      </c>
    </row>
    <row r="373" spans="1:6" ht="15.6" x14ac:dyDescent="0.3">
      <c r="A373" s="1">
        <v>45947.458680555559</v>
      </c>
      <c r="B373">
        <f>--(SUMPRODUCT((Data!$C$2:$C$53="K12C")*((Data!$A$2:$A$53 - Settings!$B$4/24) &lt;= A373)*((Data!$B$2:$B$53 + Settings!$B$4/24) &gt; A373))&gt;0)</f>
        <v>0</v>
      </c>
      <c r="C373">
        <f>--(SUMPRODUCT((Data!$C$2:$C$53="K12A")*((Data!$A$2:$A$53 - Settings!$B$4/24) &lt;= A373)*((Data!$B$2:$B$53 + Settings!$B$4/24) &gt; A373))&gt;0)</f>
        <v>0</v>
      </c>
      <c r="D373">
        <f>--(SUMPRODUCT((Data!$C$2:$C$53="K12")*((Data!$A$2:$A$53 - Settings!$B$4/24) &lt;= A373)*((Data!$B$2:$B$53 + Settings!$B$4/24) &gt; A373))&gt;0)</f>
        <v>1</v>
      </c>
      <c r="E373">
        <f>--(SUMPRODUCT((Data!$C$2:$C$53="K12B")*((Data!$A$2:$A$53 - Settings!$B$4/24) &lt;= A373)*((Data!$B$2:$B$53 + Settings!$B$4/24) &gt; A373))&gt;0)</f>
        <v>0</v>
      </c>
      <c r="F373">
        <f>--(SUMPRODUCT((Data!$C$2:$C$53="TT2")*((Data!$A$2:$A$53 - Settings!$B$4/24) &lt;= A373)*((Data!$B$2:$B$53 + Settings!$B$4/24) &gt; A373))&gt;0)</f>
        <v>0</v>
      </c>
    </row>
    <row r="374" spans="1:6" ht="15.6" x14ac:dyDescent="0.3">
      <c r="A374" s="1">
        <v>45947.500347222223</v>
      </c>
      <c r="B374">
        <f>--(SUMPRODUCT((Data!$C$2:$C$53="K12C")*((Data!$A$2:$A$53 - Settings!$B$4/24) &lt;= A374)*((Data!$B$2:$B$53 + Settings!$B$4/24) &gt; A374))&gt;0)</f>
        <v>0</v>
      </c>
      <c r="C374">
        <f>--(SUMPRODUCT((Data!$C$2:$C$53="K12A")*((Data!$A$2:$A$53 - Settings!$B$4/24) &lt;= A374)*((Data!$B$2:$B$53 + Settings!$B$4/24) &gt; A374))&gt;0)</f>
        <v>0</v>
      </c>
      <c r="D374">
        <f>--(SUMPRODUCT((Data!$C$2:$C$53="K12")*((Data!$A$2:$A$53 - Settings!$B$4/24) &lt;= A374)*((Data!$B$2:$B$53 + Settings!$B$4/24) &gt; A374))&gt;0)</f>
        <v>1</v>
      </c>
      <c r="E374">
        <f>--(SUMPRODUCT((Data!$C$2:$C$53="K12B")*((Data!$A$2:$A$53 - Settings!$B$4/24) &lt;= A374)*((Data!$B$2:$B$53 + Settings!$B$4/24) &gt; A374))&gt;0)</f>
        <v>1</v>
      </c>
      <c r="F374">
        <f>--(SUMPRODUCT((Data!$C$2:$C$53="TT2")*((Data!$A$2:$A$53 - Settings!$B$4/24) &lt;= A374)*((Data!$B$2:$B$53 + Settings!$B$4/24) &gt; A374))&gt;0)</f>
        <v>0</v>
      </c>
    </row>
    <row r="375" spans="1:6" ht="15.6" x14ac:dyDescent="0.3">
      <c r="A375" s="1">
        <v>45947.542013888888</v>
      </c>
      <c r="B375">
        <f>--(SUMPRODUCT((Data!$C$2:$C$53="K12C")*((Data!$A$2:$A$53 - Settings!$B$4/24) &lt;= A375)*((Data!$B$2:$B$53 + Settings!$B$4/24) &gt; A375))&gt;0)</f>
        <v>0</v>
      </c>
      <c r="C375">
        <f>--(SUMPRODUCT((Data!$C$2:$C$53="K12A")*((Data!$A$2:$A$53 - Settings!$B$4/24) &lt;= A375)*((Data!$B$2:$B$53 + Settings!$B$4/24) &gt; A375))&gt;0)</f>
        <v>0</v>
      </c>
      <c r="D375">
        <f>--(SUMPRODUCT((Data!$C$2:$C$53="K12")*((Data!$A$2:$A$53 - Settings!$B$4/24) &lt;= A375)*((Data!$B$2:$B$53 + Settings!$B$4/24) &gt; A375))&gt;0)</f>
        <v>1</v>
      </c>
      <c r="E375">
        <f>--(SUMPRODUCT((Data!$C$2:$C$53="K12B")*((Data!$A$2:$A$53 - Settings!$B$4/24) &lt;= A375)*((Data!$B$2:$B$53 + Settings!$B$4/24) &gt; A375))&gt;0)</f>
        <v>1</v>
      </c>
      <c r="F375">
        <f>--(SUMPRODUCT((Data!$C$2:$C$53="TT2")*((Data!$A$2:$A$53 - Settings!$B$4/24) &lt;= A375)*((Data!$B$2:$B$53 + Settings!$B$4/24) &gt; A375))&gt;0)</f>
        <v>0</v>
      </c>
    </row>
    <row r="376" spans="1:6" ht="15.6" x14ac:dyDescent="0.3">
      <c r="A376" s="1">
        <v>45947.583680555559</v>
      </c>
      <c r="B376">
        <f>--(SUMPRODUCT((Data!$C$2:$C$53="K12C")*((Data!$A$2:$A$53 - Settings!$B$4/24) &lt;= A376)*((Data!$B$2:$B$53 + Settings!$B$4/24) &gt; A376))&gt;0)</f>
        <v>0</v>
      </c>
      <c r="C376">
        <f>--(SUMPRODUCT((Data!$C$2:$C$53="K12A")*((Data!$A$2:$A$53 - Settings!$B$4/24) &lt;= A376)*((Data!$B$2:$B$53 + Settings!$B$4/24) &gt; A376))&gt;0)</f>
        <v>0</v>
      </c>
      <c r="D376">
        <f>--(SUMPRODUCT((Data!$C$2:$C$53="K12")*((Data!$A$2:$A$53 - Settings!$B$4/24) &lt;= A376)*((Data!$B$2:$B$53 + Settings!$B$4/24) &gt; A376))&gt;0)</f>
        <v>1</v>
      </c>
      <c r="E376">
        <f>--(SUMPRODUCT((Data!$C$2:$C$53="K12B")*((Data!$A$2:$A$53 - Settings!$B$4/24) &lt;= A376)*((Data!$B$2:$B$53 + Settings!$B$4/24) &gt; A376))&gt;0)</f>
        <v>1</v>
      </c>
      <c r="F376">
        <f>--(SUMPRODUCT((Data!$C$2:$C$53="TT2")*((Data!$A$2:$A$53 - Settings!$B$4/24) &lt;= A376)*((Data!$B$2:$B$53 + Settings!$B$4/24) &gt; A376))&gt;0)</f>
        <v>0</v>
      </c>
    </row>
    <row r="377" spans="1:6" ht="15.6" x14ac:dyDescent="0.3">
      <c r="A377" s="1">
        <v>45947.625347222223</v>
      </c>
      <c r="B377">
        <f>--(SUMPRODUCT((Data!$C$2:$C$53="K12C")*((Data!$A$2:$A$53 - Settings!$B$4/24) &lt;= A377)*((Data!$B$2:$B$53 + Settings!$B$4/24) &gt; A377))&gt;0)</f>
        <v>0</v>
      </c>
      <c r="C377">
        <f>--(SUMPRODUCT((Data!$C$2:$C$53="K12A")*((Data!$A$2:$A$53 - Settings!$B$4/24) &lt;= A377)*((Data!$B$2:$B$53 + Settings!$B$4/24) &gt; A377))&gt;0)</f>
        <v>0</v>
      </c>
      <c r="D377">
        <f>--(SUMPRODUCT((Data!$C$2:$C$53="K12")*((Data!$A$2:$A$53 - Settings!$B$4/24) &lt;= A377)*((Data!$B$2:$B$53 + Settings!$B$4/24) &gt; A377))&gt;0)</f>
        <v>1</v>
      </c>
      <c r="E377">
        <f>--(SUMPRODUCT((Data!$C$2:$C$53="K12B")*((Data!$A$2:$A$53 - Settings!$B$4/24) &lt;= A377)*((Data!$B$2:$B$53 + Settings!$B$4/24) &gt; A377))&gt;0)</f>
        <v>1</v>
      </c>
      <c r="F377">
        <f>--(SUMPRODUCT((Data!$C$2:$C$53="TT2")*((Data!$A$2:$A$53 - Settings!$B$4/24) &lt;= A377)*((Data!$B$2:$B$53 + Settings!$B$4/24) &gt; A377))&gt;0)</f>
        <v>0</v>
      </c>
    </row>
    <row r="378" spans="1:6" ht="15.6" x14ac:dyDescent="0.3">
      <c r="A378" s="1">
        <v>45947.667013888888</v>
      </c>
      <c r="B378">
        <f>--(SUMPRODUCT((Data!$C$2:$C$53="K12C")*((Data!$A$2:$A$53 - Settings!$B$4/24) &lt;= A378)*((Data!$B$2:$B$53 + Settings!$B$4/24) &gt; A378))&gt;0)</f>
        <v>0</v>
      </c>
      <c r="C378">
        <f>--(SUMPRODUCT((Data!$C$2:$C$53="K12A")*((Data!$A$2:$A$53 - Settings!$B$4/24) &lt;= A378)*((Data!$B$2:$B$53 + Settings!$B$4/24) &gt; A378))&gt;0)</f>
        <v>0</v>
      </c>
      <c r="D378">
        <f>--(SUMPRODUCT((Data!$C$2:$C$53="K12")*((Data!$A$2:$A$53 - Settings!$B$4/24) &lt;= A378)*((Data!$B$2:$B$53 + Settings!$B$4/24) &gt; A378))&gt;0)</f>
        <v>1</v>
      </c>
      <c r="E378">
        <f>--(SUMPRODUCT((Data!$C$2:$C$53="K12B")*((Data!$A$2:$A$53 - Settings!$B$4/24) &lt;= A378)*((Data!$B$2:$B$53 + Settings!$B$4/24) &gt; A378))&gt;0)</f>
        <v>1</v>
      </c>
      <c r="F378">
        <f>--(SUMPRODUCT((Data!$C$2:$C$53="TT2")*((Data!$A$2:$A$53 - Settings!$B$4/24) &lt;= A378)*((Data!$B$2:$B$53 + Settings!$B$4/24) &gt; A378))&gt;0)</f>
        <v>0</v>
      </c>
    </row>
    <row r="379" spans="1:6" ht="15.6" x14ac:dyDescent="0.3">
      <c r="A379" s="1">
        <v>45947.708680555559</v>
      </c>
      <c r="B379">
        <f>--(SUMPRODUCT((Data!$C$2:$C$53="K12C")*((Data!$A$2:$A$53 - Settings!$B$4/24) &lt;= A379)*((Data!$B$2:$B$53 + Settings!$B$4/24) &gt; A379))&gt;0)</f>
        <v>0</v>
      </c>
      <c r="C379">
        <f>--(SUMPRODUCT((Data!$C$2:$C$53="K12A")*((Data!$A$2:$A$53 - Settings!$B$4/24) &lt;= A379)*((Data!$B$2:$B$53 + Settings!$B$4/24) &gt; A379))&gt;0)</f>
        <v>0</v>
      </c>
      <c r="D379">
        <f>--(SUMPRODUCT((Data!$C$2:$C$53="K12")*((Data!$A$2:$A$53 - Settings!$B$4/24) &lt;= A379)*((Data!$B$2:$B$53 + Settings!$B$4/24) &gt; A379))&gt;0)</f>
        <v>1</v>
      </c>
      <c r="E379">
        <f>--(SUMPRODUCT((Data!$C$2:$C$53="K12B")*((Data!$A$2:$A$53 - Settings!$B$4/24) &lt;= A379)*((Data!$B$2:$B$53 + Settings!$B$4/24) &gt; A379))&gt;0)</f>
        <v>1</v>
      </c>
      <c r="F379">
        <f>--(SUMPRODUCT((Data!$C$2:$C$53="TT2")*((Data!$A$2:$A$53 - Settings!$B$4/24) &lt;= A379)*((Data!$B$2:$B$53 + Settings!$B$4/24) &gt; A379))&gt;0)</f>
        <v>0</v>
      </c>
    </row>
    <row r="380" spans="1:6" ht="15.6" x14ac:dyDescent="0.3">
      <c r="A380" s="1">
        <v>45947.750347222223</v>
      </c>
      <c r="B380">
        <f>--(SUMPRODUCT((Data!$C$2:$C$53="K12C")*((Data!$A$2:$A$53 - Settings!$B$4/24) &lt;= A380)*((Data!$B$2:$B$53 + Settings!$B$4/24) &gt; A380))&gt;0)</f>
        <v>0</v>
      </c>
      <c r="C380">
        <f>--(SUMPRODUCT((Data!$C$2:$C$53="K12A")*((Data!$A$2:$A$53 - Settings!$B$4/24) &lt;= A380)*((Data!$B$2:$B$53 + Settings!$B$4/24) &gt; A380))&gt;0)</f>
        <v>0</v>
      </c>
      <c r="D380">
        <f>--(SUMPRODUCT((Data!$C$2:$C$53="K12")*((Data!$A$2:$A$53 - Settings!$B$4/24) &lt;= A380)*((Data!$B$2:$B$53 + Settings!$B$4/24) &gt; A380))&gt;0)</f>
        <v>1</v>
      </c>
      <c r="E380">
        <f>--(SUMPRODUCT((Data!$C$2:$C$53="K12B")*((Data!$A$2:$A$53 - Settings!$B$4/24) &lt;= A380)*((Data!$B$2:$B$53 + Settings!$B$4/24) &gt; A380))&gt;0)</f>
        <v>1</v>
      </c>
      <c r="F380">
        <f>--(SUMPRODUCT((Data!$C$2:$C$53="TT2")*((Data!$A$2:$A$53 - Settings!$B$4/24) &lt;= A380)*((Data!$B$2:$B$53 + Settings!$B$4/24) &gt; A380))&gt;0)</f>
        <v>0</v>
      </c>
    </row>
    <row r="381" spans="1:6" ht="15.6" x14ac:dyDescent="0.3">
      <c r="A381" s="1">
        <v>45947.792013888888</v>
      </c>
      <c r="B381">
        <f>--(SUMPRODUCT((Data!$C$2:$C$53="K12C")*((Data!$A$2:$A$53 - Settings!$B$4/24) &lt;= A381)*((Data!$B$2:$B$53 + Settings!$B$4/24) &gt; A381))&gt;0)</f>
        <v>0</v>
      </c>
      <c r="C381">
        <f>--(SUMPRODUCT((Data!$C$2:$C$53="K12A")*((Data!$A$2:$A$53 - Settings!$B$4/24) &lt;= A381)*((Data!$B$2:$B$53 + Settings!$B$4/24) &gt; A381))&gt;0)</f>
        <v>0</v>
      </c>
      <c r="D381">
        <f>--(SUMPRODUCT((Data!$C$2:$C$53="K12")*((Data!$A$2:$A$53 - Settings!$B$4/24) &lt;= A381)*((Data!$B$2:$B$53 + Settings!$B$4/24) &gt; A381))&gt;0)</f>
        <v>1</v>
      </c>
      <c r="E381">
        <f>--(SUMPRODUCT((Data!$C$2:$C$53="K12B")*((Data!$A$2:$A$53 - Settings!$B$4/24) &lt;= A381)*((Data!$B$2:$B$53 + Settings!$B$4/24) &gt; A381))&gt;0)</f>
        <v>1</v>
      </c>
      <c r="F381">
        <f>--(SUMPRODUCT((Data!$C$2:$C$53="TT2")*((Data!$A$2:$A$53 - Settings!$B$4/24) &lt;= A381)*((Data!$B$2:$B$53 + Settings!$B$4/24) &gt; A381))&gt;0)</f>
        <v>0</v>
      </c>
    </row>
    <row r="382" spans="1:6" ht="15.6" x14ac:dyDescent="0.3">
      <c r="A382" s="1">
        <v>45947.833680555559</v>
      </c>
      <c r="B382">
        <f>--(SUMPRODUCT((Data!$C$2:$C$53="K12C")*((Data!$A$2:$A$53 - Settings!$B$4/24) &lt;= A382)*((Data!$B$2:$B$53 + Settings!$B$4/24) &gt; A382))&gt;0)</f>
        <v>0</v>
      </c>
      <c r="C382">
        <f>--(SUMPRODUCT((Data!$C$2:$C$53="K12A")*((Data!$A$2:$A$53 - Settings!$B$4/24) &lt;= A382)*((Data!$B$2:$B$53 + Settings!$B$4/24) &gt; A382))&gt;0)</f>
        <v>0</v>
      </c>
      <c r="D382">
        <f>--(SUMPRODUCT((Data!$C$2:$C$53="K12")*((Data!$A$2:$A$53 - Settings!$B$4/24) &lt;= A382)*((Data!$B$2:$B$53 + Settings!$B$4/24) &gt; A382))&gt;0)</f>
        <v>1</v>
      </c>
      <c r="E382">
        <f>--(SUMPRODUCT((Data!$C$2:$C$53="K12B")*((Data!$A$2:$A$53 - Settings!$B$4/24) &lt;= A382)*((Data!$B$2:$B$53 + Settings!$B$4/24) &gt; A382))&gt;0)</f>
        <v>1</v>
      </c>
      <c r="F382">
        <f>--(SUMPRODUCT((Data!$C$2:$C$53="TT2")*((Data!$A$2:$A$53 - Settings!$B$4/24) &lt;= A382)*((Data!$B$2:$B$53 + Settings!$B$4/24) &gt; A382))&gt;0)</f>
        <v>0</v>
      </c>
    </row>
    <row r="383" spans="1:6" ht="15.6" x14ac:dyDescent="0.3">
      <c r="A383" s="1">
        <v>45947.875347222223</v>
      </c>
      <c r="B383">
        <f>--(SUMPRODUCT((Data!$C$2:$C$53="K12C")*((Data!$A$2:$A$53 - Settings!$B$4/24) &lt;= A383)*((Data!$B$2:$B$53 + Settings!$B$4/24) &gt; A383))&gt;0)</f>
        <v>0</v>
      </c>
      <c r="C383">
        <f>--(SUMPRODUCT((Data!$C$2:$C$53="K12A")*((Data!$A$2:$A$53 - Settings!$B$4/24) &lt;= A383)*((Data!$B$2:$B$53 + Settings!$B$4/24) &gt; A383))&gt;0)</f>
        <v>0</v>
      </c>
      <c r="D383">
        <f>--(SUMPRODUCT((Data!$C$2:$C$53="K12")*((Data!$A$2:$A$53 - Settings!$B$4/24) &lt;= A383)*((Data!$B$2:$B$53 + Settings!$B$4/24) &gt; A383))&gt;0)</f>
        <v>1</v>
      </c>
      <c r="E383">
        <f>--(SUMPRODUCT((Data!$C$2:$C$53="K12B")*((Data!$A$2:$A$53 - Settings!$B$4/24) &lt;= A383)*((Data!$B$2:$B$53 + Settings!$B$4/24) &gt; A383))&gt;0)</f>
        <v>1</v>
      </c>
      <c r="F383">
        <f>--(SUMPRODUCT((Data!$C$2:$C$53="TT2")*((Data!$A$2:$A$53 - Settings!$B$4/24) &lt;= A383)*((Data!$B$2:$B$53 + Settings!$B$4/24) &gt; A383))&gt;0)</f>
        <v>0</v>
      </c>
    </row>
    <row r="384" spans="1:6" ht="15.6" x14ac:dyDescent="0.3">
      <c r="A384" s="1">
        <v>45947.917013888888</v>
      </c>
      <c r="B384">
        <f>--(SUMPRODUCT((Data!$C$2:$C$53="K12C")*((Data!$A$2:$A$53 - Settings!$B$4/24) &lt;= A384)*((Data!$B$2:$B$53 + Settings!$B$4/24) &gt; A384))&gt;0)</f>
        <v>0</v>
      </c>
      <c r="C384">
        <f>--(SUMPRODUCT((Data!$C$2:$C$53="K12A")*((Data!$A$2:$A$53 - Settings!$B$4/24) &lt;= A384)*((Data!$B$2:$B$53 + Settings!$B$4/24) &gt; A384))&gt;0)</f>
        <v>0</v>
      </c>
      <c r="D384">
        <f>--(SUMPRODUCT((Data!$C$2:$C$53="K12")*((Data!$A$2:$A$53 - Settings!$B$4/24) &lt;= A384)*((Data!$B$2:$B$53 + Settings!$B$4/24) &gt; A384))&gt;0)</f>
        <v>1</v>
      </c>
      <c r="E384">
        <f>--(SUMPRODUCT((Data!$C$2:$C$53="K12B")*((Data!$A$2:$A$53 - Settings!$B$4/24) &lt;= A384)*((Data!$B$2:$B$53 + Settings!$B$4/24) &gt; A384))&gt;0)</f>
        <v>1</v>
      </c>
      <c r="F384">
        <f>--(SUMPRODUCT((Data!$C$2:$C$53="TT2")*((Data!$A$2:$A$53 - Settings!$B$4/24) &lt;= A384)*((Data!$B$2:$B$53 + Settings!$B$4/24) &gt; A384))&gt;0)</f>
        <v>0</v>
      </c>
    </row>
    <row r="385" spans="1:6" ht="15.6" x14ac:dyDescent="0.3">
      <c r="A385" s="1">
        <v>45947.958680555559</v>
      </c>
      <c r="B385">
        <f>--(SUMPRODUCT((Data!$C$2:$C$53="K12C")*((Data!$A$2:$A$53 - Settings!$B$4/24) &lt;= A385)*((Data!$B$2:$B$53 + Settings!$B$4/24) &gt; A385))&gt;0)</f>
        <v>0</v>
      </c>
      <c r="C385">
        <f>--(SUMPRODUCT((Data!$C$2:$C$53="K12A")*((Data!$A$2:$A$53 - Settings!$B$4/24) &lt;= A385)*((Data!$B$2:$B$53 + Settings!$B$4/24) &gt; A385))&gt;0)</f>
        <v>0</v>
      </c>
      <c r="D385">
        <f>--(SUMPRODUCT((Data!$C$2:$C$53="K12")*((Data!$A$2:$A$53 - Settings!$B$4/24) &lt;= A385)*((Data!$B$2:$B$53 + Settings!$B$4/24) &gt; A385))&gt;0)</f>
        <v>1</v>
      </c>
      <c r="E385">
        <f>--(SUMPRODUCT((Data!$C$2:$C$53="K12B")*((Data!$A$2:$A$53 - Settings!$B$4/24) &lt;= A385)*((Data!$B$2:$B$53 + Settings!$B$4/24) &gt; A385))&gt;0)</f>
        <v>1</v>
      </c>
      <c r="F385">
        <f>--(SUMPRODUCT((Data!$C$2:$C$53="TT2")*((Data!$A$2:$A$53 - Settings!$B$4/24) &lt;= A385)*((Data!$B$2:$B$53 + Settings!$B$4/24) &gt; A385))&gt;0)</f>
        <v>0</v>
      </c>
    </row>
    <row r="386" spans="1:6" ht="15.6" x14ac:dyDescent="0.3">
      <c r="A386" s="1">
        <v>45948.000347222223</v>
      </c>
      <c r="B386">
        <f>--(SUMPRODUCT((Data!$C$2:$C$53="K12C")*((Data!$A$2:$A$53 - Settings!$B$4/24) &lt;= A386)*((Data!$B$2:$B$53 + Settings!$B$4/24) &gt; A386))&gt;0)</f>
        <v>0</v>
      </c>
      <c r="C386">
        <f>--(SUMPRODUCT((Data!$C$2:$C$53="K12A")*((Data!$A$2:$A$53 - Settings!$B$4/24) &lt;= A386)*((Data!$B$2:$B$53 + Settings!$B$4/24) &gt; A386))&gt;0)</f>
        <v>0</v>
      </c>
      <c r="D386">
        <f>--(SUMPRODUCT((Data!$C$2:$C$53="K12")*((Data!$A$2:$A$53 - Settings!$B$4/24) &lt;= A386)*((Data!$B$2:$B$53 + Settings!$B$4/24) &gt; A386))&gt;0)</f>
        <v>1</v>
      </c>
      <c r="E386">
        <f>--(SUMPRODUCT((Data!$C$2:$C$53="K12B")*((Data!$A$2:$A$53 - Settings!$B$4/24) &lt;= A386)*((Data!$B$2:$B$53 + Settings!$B$4/24) &gt; A386))&gt;0)</f>
        <v>1</v>
      </c>
      <c r="F386">
        <f>--(SUMPRODUCT((Data!$C$2:$C$53="TT2")*((Data!$A$2:$A$53 - Settings!$B$4/24) &lt;= A386)*((Data!$B$2:$B$53 + Settings!$B$4/24) &gt; A386))&gt;0)</f>
        <v>0</v>
      </c>
    </row>
    <row r="387" spans="1:6" ht="15.6" x14ac:dyDescent="0.3">
      <c r="A387" s="1">
        <v>45948.042013888888</v>
      </c>
      <c r="B387">
        <f>--(SUMPRODUCT((Data!$C$2:$C$53="K12C")*((Data!$A$2:$A$53 - Settings!$B$4/24) &lt;= A387)*((Data!$B$2:$B$53 + Settings!$B$4/24) &gt; A387))&gt;0)</f>
        <v>0</v>
      </c>
      <c r="C387">
        <f>--(SUMPRODUCT((Data!$C$2:$C$53="K12A")*((Data!$A$2:$A$53 - Settings!$B$4/24) &lt;= A387)*((Data!$B$2:$B$53 + Settings!$B$4/24) &gt; A387))&gt;0)</f>
        <v>0</v>
      </c>
      <c r="D387">
        <f>--(SUMPRODUCT((Data!$C$2:$C$53="K12")*((Data!$A$2:$A$53 - Settings!$B$4/24) &lt;= A387)*((Data!$B$2:$B$53 + Settings!$B$4/24) &gt; A387))&gt;0)</f>
        <v>1</v>
      </c>
      <c r="E387">
        <f>--(SUMPRODUCT((Data!$C$2:$C$53="K12B")*((Data!$A$2:$A$53 - Settings!$B$4/24) &lt;= A387)*((Data!$B$2:$B$53 + Settings!$B$4/24) &gt; A387))&gt;0)</f>
        <v>1</v>
      </c>
      <c r="F387">
        <f>--(SUMPRODUCT((Data!$C$2:$C$53="TT2")*((Data!$A$2:$A$53 - Settings!$B$4/24) &lt;= A387)*((Data!$B$2:$B$53 + Settings!$B$4/24) &gt; A387))&gt;0)</f>
        <v>0</v>
      </c>
    </row>
    <row r="388" spans="1:6" ht="15.6" x14ac:dyDescent="0.3">
      <c r="A388" s="1">
        <v>45948.083680555559</v>
      </c>
      <c r="B388">
        <f>--(SUMPRODUCT((Data!$C$2:$C$53="K12C")*((Data!$A$2:$A$53 - Settings!$B$4/24) &lt;= A388)*((Data!$B$2:$B$53 + Settings!$B$4/24) &gt; A388))&gt;0)</f>
        <v>0</v>
      </c>
      <c r="C388">
        <f>--(SUMPRODUCT((Data!$C$2:$C$53="K12A")*((Data!$A$2:$A$53 - Settings!$B$4/24) &lt;= A388)*((Data!$B$2:$B$53 + Settings!$B$4/24) &gt; A388))&gt;0)</f>
        <v>0</v>
      </c>
      <c r="D388">
        <f>--(SUMPRODUCT((Data!$C$2:$C$53="K12")*((Data!$A$2:$A$53 - Settings!$B$4/24) &lt;= A388)*((Data!$B$2:$B$53 + Settings!$B$4/24) &gt; A388))&gt;0)</f>
        <v>1</v>
      </c>
      <c r="E388">
        <f>--(SUMPRODUCT((Data!$C$2:$C$53="K12B")*((Data!$A$2:$A$53 - Settings!$B$4/24) &lt;= A388)*((Data!$B$2:$B$53 + Settings!$B$4/24) &gt; A388))&gt;0)</f>
        <v>1</v>
      </c>
      <c r="F388">
        <f>--(SUMPRODUCT((Data!$C$2:$C$53="TT2")*((Data!$A$2:$A$53 - Settings!$B$4/24) &lt;= A388)*((Data!$B$2:$B$53 + Settings!$B$4/24) &gt; A388))&gt;0)</f>
        <v>0</v>
      </c>
    </row>
    <row r="389" spans="1:6" ht="15.6" x14ac:dyDescent="0.3">
      <c r="A389" s="1">
        <v>45948.125347222223</v>
      </c>
      <c r="B389">
        <f>--(SUMPRODUCT((Data!$C$2:$C$53="K12C")*((Data!$A$2:$A$53 - Settings!$B$4/24) &lt;= A389)*((Data!$B$2:$B$53 + Settings!$B$4/24) &gt; A389))&gt;0)</f>
        <v>0</v>
      </c>
      <c r="C389">
        <f>--(SUMPRODUCT((Data!$C$2:$C$53="K12A")*((Data!$A$2:$A$53 - Settings!$B$4/24) &lt;= A389)*((Data!$B$2:$B$53 + Settings!$B$4/24) &gt; A389))&gt;0)</f>
        <v>0</v>
      </c>
      <c r="D389">
        <f>--(SUMPRODUCT((Data!$C$2:$C$53="K12")*((Data!$A$2:$A$53 - Settings!$B$4/24) &lt;= A389)*((Data!$B$2:$B$53 + Settings!$B$4/24) &gt; A389))&gt;0)</f>
        <v>1</v>
      </c>
      <c r="E389">
        <f>--(SUMPRODUCT((Data!$C$2:$C$53="K12B")*((Data!$A$2:$A$53 - Settings!$B$4/24) &lt;= A389)*((Data!$B$2:$B$53 + Settings!$B$4/24) &gt; A389))&gt;0)</f>
        <v>1</v>
      </c>
      <c r="F389">
        <f>--(SUMPRODUCT((Data!$C$2:$C$53="TT2")*((Data!$A$2:$A$53 - Settings!$B$4/24) &lt;= A389)*((Data!$B$2:$B$53 + Settings!$B$4/24) &gt; A389))&gt;0)</f>
        <v>0</v>
      </c>
    </row>
    <row r="390" spans="1:6" ht="15.6" x14ac:dyDescent="0.3">
      <c r="A390" s="1">
        <v>45948.167013888888</v>
      </c>
      <c r="B390">
        <f>--(SUMPRODUCT((Data!$C$2:$C$53="K12C")*((Data!$A$2:$A$53 - Settings!$B$4/24) &lt;= A390)*((Data!$B$2:$B$53 + Settings!$B$4/24) &gt; A390))&gt;0)</f>
        <v>0</v>
      </c>
      <c r="C390">
        <f>--(SUMPRODUCT((Data!$C$2:$C$53="K12A")*((Data!$A$2:$A$53 - Settings!$B$4/24) &lt;= A390)*((Data!$B$2:$B$53 + Settings!$B$4/24) &gt; A390))&gt;0)</f>
        <v>0</v>
      </c>
      <c r="D390">
        <f>--(SUMPRODUCT((Data!$C$2:$C$53="K12")*((Data!$A$2:$A$53 - Settings!$B$4/24) &lt;= A390)*((Data!$B$2:$B$53 + Settings!$B$4/24) &gt; A390))&gt;0)</f>
        <v>1</v>
      </c>
      <c r="E390">
        <f>--(SUMPRODUCT((Data!$C$2:$C$53="K12B")*((Data!$A$2:$A$53 - Settings!$B$4/24) &lt;= A390)*((Data!$B$2:$B$53 + Settings!$B$4/24) &gt; A390))&gt;0)</f>
        <v>1</v>
      </c>
      <c r="F390">
        <f>--(SUMPRODUCT((Data!$C$2:$C$53="TT2")*((Data!$A$2:$A$53 - Settings!$B$4/24) &lt;= A390)*((Data!$B$2:$B$53 + Settings!$B$4/24) &gt; A390))&gt;0)</f>
        <v>0</v>
      </c>
    </row>
    <row r="391" spans="1:6" ht="15.6" x14ac:dyDescent="0.3">
      <c r="A391" s="1">
        <v>45948.208680555559</v>
      </c>
      <c r="B391">
        <f>--(SUMPRODUCT((Data!$C$2:$C$53="K12C")*((Data!$A$2:$A$53 - Settings!$B$4/24) &lt;= A391)*((Data!$B$2:$B$53 + Settings!$B$4/24) &gt; A391))&gt;0)</f>
        <v>0</v>
      </c>
      <c r="C391">
        <f>--(SUMPRODUCT((Data!$C$2:$C$53="K12A")*((Data!$A$2:$A$53 - Settings!$B$4/24) &lt;= A391)*((Data!$B$2:$B$53 + Settings!$B$4/24) &gt; A391))&gt;0)</f>
        <v>0</v>
      </c>
      <c r="D391">
        <f>--(SUMPRODUCT((Data!$C$2:$C$53="K12")*((Data!$A$2:$A$53 - Settings!$B$4/24) &lt;= A391)*((Data!$B$2:$B$53 + Settings!$B$4/24) &gt; A391))&gt;0)</f>
        <v>1</v>
      </c>
      <c r="E391">
        <f>--(SUMPRODUCT((Data!$C$2:$C$53="K12B")*((Data!$A$2:$A$53 - Settings!$B$4/24) &lt;= A391)*((Data!$B$2:$B$53 + Settings!$B$4/24) &gt; A391))&gt;0)</f>
        <v>1</v>
      </c>
      <c r="F391">
        <f>--(SUMPRODUCT((Data!$C$2:$C$53="TT2")*((Data!$A$2:$A$53 - Settings!$B$4/24) &lt;= A391)*((Data!$B$2:$B$53 + Settings!$B$4/24) &gt; A391))&gt;0)</f>
        <v>0</v>
      </c>
    </row>
    <row r="392" spans="1:6" ht="15.6" x14ac:dyDescent="0.3">
      <c r="A392" s="1">
        <v>45948.250347222223</v>
      </c>
      <c r="B392">
        <f>--(SUMPRODUCT((Data!$C$2:$C$53="K12C")*((Data!$A$2:$A$53 - Settings!$B$4/24) &lt;= A392)*((Data!$B$2:$B$53 + Settings!$B$4/24) &gt; A392))&gt;0)</f>
        <v>0</v>
      </c>
      <c r="C392">
        <f>--(SUMPRODUCT((Data!$C$2:$C$53="K12A")*((Data!$A$2:$A$53 - Settings!$B$4/24) &lt;= A392)*((Data!$B$2:$B$53 + Settings!$B$4/24) &gt; A392))&gt;0)</f>
        <v>0</v>
      </c>
      <c r="D392">
        <f>--(SUMPRODUCT((Data!$C$2:$C$53="K12")*((Data!$A$2:$A$53 - Settings!$B$4/24) &lt;= A392)*((Data!$B$2:$B$53 + Settings!$B$4/24) &gt; A392))&gt;0)</f>
        <v>1</v>
      </c>
      <c r="E392">
        <f>--(SUMPRODUCT((Data!$C$2:$C$53="K12B")*((Data!$A$2:$A$53 - Settings!$B$4/24) &lt;= A392)*((Data!$B$2:$B$53 + Settings!$B$4/24) &gt; A392))&gt;0)</f>
        <v>0</v>
      </c>
      <c r="F392">
        <f>--(SUMPRODUCT((Data!$C$2:$C$53="TT2")*((Data!$A$2:$A$53 - Settings!$B$4/24) &lt;= A392)*((Data!$B$2:$B$53 + Settings!$B$4/24) &gt; A392))&gt;0)</f>
        <v>0</v>
      </c>
    </row>
    <row r="393" spans="1:6" ht="15.6" x14ac:dyDescent="0.3">
      <c r="A393" s="1">
        <v>45948.292013888888</v>
      </c>
      <c r="B393">
        <f>--(SUMPRODUCT((Data!$C$2:$C$53="K12C")*((Data!$A$2:$A$53 - Settings!$B$4/24) &lt;= A393)*((Data!$B$2:$B$53 + Settings!$B$4/24) &gt; A393))&gt;0)</f>
        <v>0</v>
      </c>
      <c r="C393">
        <f>--(SUMPRODUCT((Data!$C$2:$C$53="K12A")*((Data!$A$2:$A$53 - Settings!$B$4/24) &lt;= A393)*((Data!$B$2:$B$53 + Settings!$B$4/24) &gt; A393))&gt;0)</f>
        <v>0</v>
      </c>
      <c r="D393">
        <f>--(SUMPRODUCT((Data!$C$2:$C$53="K12")*((Data!$A$2:$A$53 - Settings!$B$4/24) &lt;= A393)*((Data!$B$2:$B$53 + Settings!$B$4/24) &gt; A393))&gt;0)</f>
        <v>1</v>
      </c>
      <c r="E393">
        <f>--(SUMPRODUCT((Data!$C$2:$C$53="K12B")*((Data!$A$2:$A$53 - Settings!$B$4/24) &lt;= A393)*((Data!$B$2:$B$53 + Settings!$B$4/24) &gt; A393))&gt;0)</f>
        <v>0</v>
      </c>
      <c r="F393">
        <f>--(SUMPRODUCT((Data!$C$2:$C$53="TT2")*((Data!$A$2:$A$53 - Settings!$B$4/24) &lt;= A393)*((Data!$B$2:$B$53 + Settings!$B$4/24) &gt; A393))&gt;0)</f>
        <v>0</v>
      </c>
    </row>
    <row r="394" spans="1:6" ht="15.6" x14ac:dyDescent="0.3">
      <c r="A394" s="1">
        <v>45948.333680555559</v>
      </c>
      <c r="B394">
        <f>--(SUMPRODUCT((Data!$C$2:$C$53="K12C")*((Data!$A$2:$A$53 - Settings!$B$4/24) &lt;= A394)*((Data!$B$2:$B$53 + Settings!$B$4/24) &gt; A394))&gt;0)</f>
        <v>0</v>
      </c>
      <c r="C394">
        <f>--(SUMPRODUCT((Data!$C$2:$C$53="K12A")*((Data!$A$2:$A$53 - Settings!$B$4/24) &lt;= A394)*((Data!$B$2:$B$53 + Settings!$B$4/24) &gt; A394))&gt;0)</f>
        <v>0</v>
      </c>
      <c r="D394">
        <f>--(SUMPRODUCT((Data!$C$2:$C$53="K12")*((Data!$A$2:$A$53 - Settings!$B$4/24) &lt;= A394)*((Data!$B$2:$B$53 + Settings!$B$4/24) &gt; A394))&gt;0)</f>
        <v>1</v>
      </c>
      <c r="E394">
        <f>--(SUMPRODUCT((Data!$C$2:$C$53="K12B")*((Data!$A$2:$A$53 - Settings!$B$4/24) &lt;= A394)*((Data!$B$2:$B$53 + Settings!$B$4/24) &gt; A394))&gt;0)</f>
        <v>0</v>
      </c>
      <c r="F394">
        <f>--(SUMPRODUCT((Data!$C$2:$C$53="TT2")*((Data!$A$2:$A$53 - Settings!$B$4/24) &lt;= A394)*((Data!$B$2:$B$53 + Settings!$B$4/24) &gt; A394))&gt;0)</f>
        <v>0</v>
      </c>
    </row>
    <row r="395" spans="1:6" ht="15.6" x14ac:dyDescent="0.3">
      <c r="A395" s="1">
        <v>45948.375347222223</v>
      </c>
      <c r="B395">
        <f>--(SUMPRODUCT((Data!$C$2:$C$53="K12C")*((Data!$A$2:$A$53 - Settings!$B$4/24) &lt;= A395)*((Data!$B$2:$B$53 + Settings!$B$4/24) &gt; A395))&gt;0)</f>
        <v>0</v>
      </c>
      <c r="C395">
        <f>--(SUMPRODUCT((Data!$C$2:$C$53="K12A")*((Data!$A$2:$A$53 - Settings!$B$4/24) &lt;= A395)*((Data!$B$2:$B$53 + Settings!$B$4/24) &gt; A395))&gt;0)</f>
        <v>0</v>
      </c>
      <c r="D395">
        <f>--(SUMPRODUCT((Data!$C$2:$C$53="K12")*((Data!$A$2:$A$53 - Settings!$B$4/24) &lt;= A395)*((Data!$B$2:$B$53 + Settings!$B$4/24) &gt; A395))&gt;0)</f>
        <v>1</v>
      </c>
      <c r="E395">
        <f>--(SUMPRODUCT((Data!$C$2:$C$53="K12B")*((Data!$A$2:$A$53 - Settings!$B$4/24) &lt;= A395)*((Data!$B$2:$B$53 + Settings!$B$4/24) &gt; A395))&gt;0)</f>
        <v>0</v>
      </c>
      <c r="F395">
        <f>--(SUMPRODUCT((Data!$C$2:$C$53="TT2")*((Data!$A$2:$A$53 - Settings!$B$4/24) &lt;= A395)*((Data!$B$2:$B$53 + Settings!$B$4/24) &gt; A395))&gt;0)</f>
        <v>0</v>
      </c>
    </row>
    <row r="396" spans="1:6" ht="15.6" x14ac:dyDescent="0.3">
      <c r="A396" s="1">
        <v>45948.417013888888</v>
      </c>
      <c r="B396">
        <f>--(SUMPRODUCT((Data!$C$2:$C$53="K12C")*((Data!$A$2:$A$53 - Settings!$B$4/24) &lt;= A396)*((Data!$B$2:$B$53 + Settings!$B$4/24) &gt; A396))&gt;0)</f>
        <v>0</v>
      </c>
      <c r="C396">
        <f>--(SUMPRODUCT((Data!$C$2:$C$53="K12A")*((Data!$A$2:$A$53 - Settings!$B$4/24) &lt;= A396)*((Data!$B$2:$B$53 + Settings!$B$4/24) &gt; A396))&gt;0)</f>
        <v>0</v>
      </c>
      <c r="D396">
        <f>--(SUMPRODUCT((Data!$C$2:$C$53="K12")*((Data!$A$2:$A$53 - Settings!$B$4/24) &lt;= A396)*((Data!$B$2:$B$53 + Settings!$B$4/24) &gt; A396))&gt;0)</f>
        <v>1</v>
      </c>
      <c r="E396">
        <f>--(SUMPRODUCT((Data!$C$2:$C$53="K12B")*((Data!$A$2:$A$53 - Settings!$B$4/24) &lt;= A396)*((Data!$B$2:$B$53 + Settings!$B$4/24) &gt; A396))&gt;0)</f>
        <v>0</v>
      </c>
      <c r="F396">
        <f>--(SUMPRODUCT((Data!$C$2:$C$53="TT2")*((Data!$A$2:$A$53 - Settings!$B$4/24) &lt;= A396)*((Data!$B$2:$B$53 + Settings!$B$4/24) &gt; A396))&gt;0)</f>
        <v>0</v>
      </c>
    </row>
    <row r="397" spans="1:6" ht="15.6" x14ac:dyDescent="0.3">
      <c r="A397" s="1">
        <v>45948.458680555559</v>
      </c>
      <c r="B397">
        <f>--(SUMPRODUCT((Data!$C$2:$C$53="K12C")*((Data!$A$2:$A$53 - Settings!$B$4/24) &lt;= A397)*((Data!$B$2:$B$53 + Settings!$B$4/24) &gt; A397))&gt;0)</f>
        <v>0</v>
      </c>
      <c r="C397">
        <f>--(SUMPRODUCT((Data!$C$2:$C$53="K12A")*((Data!$A$2:$A$53 - Settings!$B$4/24) &lt;= A397)*((Data!$B$2:$B$53 + Settings!$B$4/24) &gt; A397))&gt;0)</f>
        <v>0</v>
      </c>
      <c r="D397">
        <f>--(SUMPRODUCT((Data!$C$2:$C$53="K12")*((Data!$A$2:$A$53 - Settings!$B$4/24) &lt;= A397)*((Data!$B$2:$B$53 + Settings!$B$4/24) &gt; A397))&gt;0)</f>
        <v>1</v>
      </c>
      <c r="E397">
        <f>--(SUMPRODUCT((Data!$C$2:$C$53="K12B")*((Data!$A$2:$A$53 - Settings!$B$4/24) &lt;= A397)*((Data!$B$2:$B$53 + Settings!$B$4/24) &gt; A397))&gt;0)</f>
        <v>0</v>
      </c>
      <c r="F397">
        <f>--(SUMPRODUCT((Data!$C$2:$C$53="TT2")*((Data!$A$2:$A$53 - Settings!$B$4/24) &lt;= A397)*((Data!$B$2:$B$53 + Settings!$B$4/24) &gt; A397))&gt;0)</f>
        <v>0</v>
      </c>
    </row>
    <row r="398" spans="1:6" ht="15.6" x14ac:dyDescent="0.3">
      <c r="A398" s="1">
        <v>45948.500347222223</v>
      </c>
      <c r="B398">
        <f>--(SUMPRODUCT((Data!$C$2:$C$53="K12C")*((Data!$A$2:$A$53 - Settings!$B$4/24) &lt;= A398)*((Data!$B$2:$B$53 + Settings!$B$4/24) &gt; A398))&gt;0)</f>
        <v>0</v>
      </c>
      <c r="C398">
        <f>--(SUMPRODUCT((Data!$C$2:$C$53="K12A")*((Data!$A$2:$A$53 - Settings!$B$4/24) &lt;= A398)*((Data!$B$2:$B$53 + Settings!$B$4/24) &gt; A398))&gt;0)</f>
        <v>0</v>
      </c>
      <c r="D398">
        <f>--(SUMPRODUCT((Data!$C$2:$C$53="K12")*((Data!$A$2:$A$53 - Settings!$B$4/24) &lt;= A398)*((Data!$B$2:$B$53 + Settings!$B$4/24) &gt; A398))&gt;0)</f>
        <v>1</v>
      </c>
      <c r="E398">
        <f>--(SUMPRODUCT((Data!$C$2:$C$53="K12B")*((Data!$A$2:$A$53 - Settings!$B$4/24) &lt;= A398)*((Data!$B$2:$B$53 + Settings!$B$4/24) &gt; A398))&gt;0)</f>
        <v>0</v>
      </c>
      <c r="F398">
        <f>--(SUMPRODUCT((Data!$C$2:$C$53="TT2")*((Data!$A$2:$A$53 - Settings!$B$4/24) &lt;= A398)*((Data!$B$2:$B$53 + Settings!$B$4/24) &gt; A398))&gt;0)</f>
        <v>0</v>
      </c>
    </row>
    <row r="399" spans="1:6" ht="15.6" x14ac:dyDescent="0.3">
      <c r="A399" s="1">
        <v>45948.542013888888</v>
      </c>
      <c r="B399">
        <f>--(SUMPRODUCT((Data!$C$2:$C$53="K12C")*((Data!$A$2:$A$53 - Settings!$B$4/24) &lt;= A399)*((Data!$B$2:$B$53 + Settings!$B$4/24) &gt; A399))&gt;0)</f>
        <v>0</v>
      </c>
      <c r="C399">
        <f>--(SUMPRODUCT((Data!$C$2:$C$53="K12A")*((Data!$A$2:$A$53 - Settings!$B$4/24) &lt;= A399)*((Data!$B$2:$B$53 + Settings!$B$4/24) &gt; A399))&gt;0)</f>
        <v>0</v>
      </c>
      <c r="D399">
        <f>--(SUMPRODUCT((Data!$C$2:$C$53="K12")*((Data!$A$2:$A$53 - Settings!$B$4/24) &lt;= A399)*((Data!$B$2:$B$53 + Settings!$B$4/24) &gt; A399))&gt;0)</f>
        <v>0</v>
      </c>
      <c r="E399">
        <f>--(SUMPRODUCT((Data!$C$2:$C$53="K12B")*((Data!$A$2:$A$53 - Settings!$B$4/24) &lt;= A399)*((Data!$B$2:$B$53 + Settings!$B$4/24) &gt; A399))&gt;0)</f>
        <v>0</v>
      </c>
      <c r="F399">
        <f>--(SUMPRODUCT((Data!$C$2:$C$53="TT2")*((Data!$A$2:$A$53 - Settings!$B$4/24) &lt;= A399)*((Data!$B$2:$B$53 + Settings!$B$4/24) &gt; A399))&gt;0)</f>
        <v>0</v>
      </c>
    </row>
    <row r="400" spans="1:6" ht="15.6" x14ac:dyDescent="0.3">
      <c r="A400" s="1">
        <v>45948.583680555559</v>
      </c>
      <c r="B400">
        <f>--(SUMPRODUCT((Data!$C$2:$C$53="K12C")*((Data!$A$2:$A$53 - Settings!$B$4/24) &lt;= A400)*((Data!$B$2:$B$53 + Settings!$B$4/24) &gt; A400))&gt;0)</f>
        <v>0</v>
      </c>
      <c r="C400">
        <f>--(SUMPRODUCT((Data!$C$2:$C$53="K12A")*((Data!$A$2:$A$53 - Settings!$B$4/24) &lt;= A400)*((Data!$B$2:$B$53 + Settings!$B$4/24) &gt; A400))&gt;0)</f>
        <v>0</v>
      </c>
      <c r="D400">
        <f>--(SUMPRODUCT((Data!$C$2:$C$53="K12")*((Data!$A$2:$A$53 - Settings!$B$4/24) &lt;= A400)*((Data!$B$2:$B$53 + Settings!$B$4/24) &gt; A400))&gt;0)</f>
        <v>0</v>
      </c>
      <c r="E400">
        <f>--(SUMPRODUCT((Data!$C$2:$C$53="K12B")*((Data!$A$2:$A$53 - Settings!$B$4/24) &lt;= A400)*((Data!$B$2:$B$53 + Settings!$B$4/24) &gt; A400))&gt;0)</f>
        <v>0</v>
      </c>
      <c r="F400">
        <f>--(SUMPRODUCT((Data!$C$2:$C$53="TT2")*((Data!$A$2:$A$53 - Settings!$B$4/24) &lt;= A400)*((Data!$B$2:$B$53 + Settings!$B$4/24) &gt; A400))&gt;0)</f>
        <v>0</v>
      </c>
    </row>
    <row r="401" spans="1:6" ht="15.6" x14ac:dyDescent="0.3">
      <c r="A401" s="1">
        <v>45948.625347222223</v>
      </c>
      <c r="B401">
        <f>--(SUMPRODUCT((Data!$C$2:$C$53="K12C")*((Data!$A$2:$A$53 - Settings!$B$4/24) &lt;= A401)*((Data!$B$2:$B$53 + Settings!$B$4/24) &gt; A401))&gt;0)</f>
        <v>0</v>
      </c>
      <c r="C401">
        <f>--(SUMPRODUCT((Data!$C$2:$C$53="K12A")*((Data!$A$2:$A$53 - Settings!$B$4/24) &lt;= A401)*((Data!$B$2:$B$53 + Settings!$B$4/24) &gt; A401))&gt;0)</f>
        <v>0</v>
      </c>
      <c r="D401">
        <f>--(SUMPRODUCT((Data!$C$2:$C$53="K12")*((Data!$A$2:$A$53 - Settings!$B$4/24) &lt;= A401)*((Data!$B$2:$B$53 + Settings!$B$4/24) &gt; A401))&gt;0)</f>
        <v>0</v>
      </c>
      <c r="E401">
        <f>--(SUMPRODUCT((Data!$C$2:$C$53="K12B")*((Data!$A$2:$A$53 - Settings!$B$4/24) &lt;= A401)*((Data!$B$2:$B$53 + Settings!$B$4/24) &gt; A401))&gt;0)</f>
        <v>1</v>
      </c>
      <c r="F401">
        <f>--(SUMPRODUCT((Data!$C$2:$C$53="TT2")*((Data!$A$2:$A$53 - Settings!$B$4/24) &lt;= A401)*((Data!$B$2:$B$53 + Settings!$B$4/24) &gt; A401))&gt;0)</f>
        <v>0</v>
      </c>
    </row>
    <row r="402" spans="1:6" ht="15.6" x14ac:dyDescent="0.3">
      <c r="A402" s="1">
        <v>45948.667013888888</v>
      </c>
      <c r="B402">
        <f>--(SUMPRODUCT((Data!$C$2:$C$53="K12C")*((Data!$A$2:$A$53 - Settings!$B$4/24) &lt;= A402)*((Data!$B$2:$B$53 + Settings!$B$4/24) &gt; A402))&gt;0)</f>
        <v>0</v>
      </c>
      <c r="C402">
        <f>--(SUMPRODUCT((Data!$C$2:$C$53="K12A")*((Data!$A$2:$A$53 - Settings!$B$4/24) &lt;= A402)*((Data!$B$2:$B$53 + Settings!$B$4/24) &gt; A402))&gt;0)</f>
        <v>0</v>
      </c>
      <c r="D402">
        <f>--(SUMPRODUCT((Data!$C$2:$C$53="K12")*((Data!$A$2:$A$53 - Settings!$B$4/24) &lt;= A402)*((Data!$B$2:$B$53 + Settings!$B$4/24) &gt; A402))&gt;0)</f>
        <v>0</v>
      </c>
      <c r="E402">
        <f>--(SUMPRODUCT((Data!$C$2:$C$53="K12B")*((Data!$A$2:$A$53 - Settings!$B$4/24) &lt;= A402)*((Data!$B$2:$B$53 + Settings!$B$4/24) &gt; A402))&gt;0)</f>
        <v>1</v>
      </c>
      <c r="F402">
        <f>--(SUMPRODUCT((Data!$C$2:$C$53="TT2")*((Data!$A$2:$A$53 - Settings!$B$4/24) &lt;= A402)*((Data!$B$2:$B$53 + Settings!$B$4/24) &gt; A402))&gt;0)</f>
        <v>0</v>
      </c>
    </row>
    <row r="403" spans="1:6" ht="15.6" x14ac:dyDescent="0.3">
      <c r="A403" s="1">
        <v>45948.708680555559</v>
      </c>
      <c r="B403">
        <f>--(SUMPRODUCT((Data!$C$2:$C$53="K12C")*((Data!$A$2:$A$53 - Settings!$B$4/24) &lt;= A403)*((Data!$B$2:$B$53 + Settings!$B$4/24) &gt; A403))&gt;0)</f>
        <v>0</v>
      </c>
      <c r="C403">
        <f>--(SUMPRODUCT((Data!$C$2:$C$53="K12A")*((Data!$A$2:$A$53 - Settings!$B$4/24) &lt;= A403)*((Data!$B$2:$B$53 + Settings!$B$4/24) &gt; A403))&gt;0)</f>
        <v>0</v>
      </c>
      <c r="D403">
        <f>--(SUMPRODUCT((Data!$C$2:$C$53="K12")*((Data!$A$2:$A$53 - Settings!$B$4/24) &lt;= A403)*((Data!$B$2:$B$53 + Settings!$B$4/24) &gt; A403))&gt;0)</f>
        <v>0</v>
      </c>
      <c r="E403">
        <f>--(SUMPRODUCT((Data!$C$2:$C$53="K12B")*((Data!$A$2:$A$53 - Settings!$B$4/24) &lt;= A403)*((Data!$B$2:$B$53 + Settings!$B$4/24) &gt; A403))&gt;0)</f>
        <v>1</v>
      </c>
      <c r="F403">
        <f>--(SUMPRODUCT((Data!$C$2:$C$53="TT2")*((Data!$A$2:$A$53 - Settings!$B$4/24) &lt;= A403)*((Data!$B$2:$B$53 + Settings!$B$4/24) &gt; A403))&gt;0)</f>
        <v>0</v>
      </c>
    </row>
    <row r="404" spans="1:6" ht="15.6" x14ac:dyDescent="0.3">
      <c r="A404" s="1">
        <v>45948.750347222223</v>
      </c>
      <c r="B404">
        <f>--(SUMPRODUCT((Data!$C$2:$C$53="K12C")*((Data!$A$2:$A$53 - Settings!$B$4/24) &lt;= A404)*((Data!$B$2:$B$53 + Settings!$B$4/24) &gt; A404))&gt;0)</f>
        <v>0</v>
      </c>
      <c r="C404">
        <f>--(SUMPRODUCT((Data!$C$2:$C$53="K12A")*((Data!$A$2:$A$53 - Settings!$B$4/24) &lt;= A404)*((Data!$B$2:$B$53 + Settings!$B$4/24) &gt; A404))&gt;0)</f>
        <v>0</v>
      </c>
      <c r="D404">
        <f>--(SUMPRODUCT((Data!$C$2:$C$53="K12")*((Data!$A$2:$A$53 - Settings!$B$4/24) &lt;= A404)*((Data!$B$2:$B$53 + Settings!$B$4/24) &gt; A404))&gt;0)</f>
        <v>0</v>
      </c>
      <c r="E404">
        <f>--(SUMPRODUCT((Data!$C$2:$C$53="K12B")*((Data!$A$2:$A$53 - Settings!$B$4/24) &lt;= A404)*((Data!$B$2:$B$53 + Settings!$B$4/24) &gt; A404))&gt;0)</f>
        <v>1</v>
      </c>
      <c r="F404">
        <f>--(SUMPRODUCT((Data!$C$2:$C$53="TT2")*((Data!$A$2:$A$53 - Settings!$B$4/24) &lt;= A404)*((Data!$B$2:$B$53 + Settings!$B$4/24) &gt; A404))&gt;0)</f>
        <v>0</v>
      </c>
    </row>
    <row r="405" spans="1:6" ht="15.6" x14ac:dyDescent="0.3">
      <c r="A405" s="1">
        <v>45948.792013888888</v>
      </c>
      <c r="B405">
        <f>--(SUMPRODUCT((Data!$C$2:$C$53="K12C")*((Data!$A$2:$A$53 - Settings!$B$4/24) &lt;= A405)*((Data!$B$2:$B$53 + Settings!$B$4/24) &gt; A405))&gt;0)</f>
        <v>0</v>
      </c>
      <c r="C405">
        <f>--(SUMPRODUCT((Data!$C$2:$C$53="K12A")*((Data!$A$2:$A$53 - Settings!$B$4/24) &lt;= A405)*((Data!$B$2:$B$53 + Settings!$B$4/24) &gt; A405))&gt;0)</f>
        <v>0</v>
      </c>
      <c r="D405">
        <f>--(SUMPRODUCT((Data!$C$2:$C$53="K12")*((Data!$A$2:$A$53 - Settings!$B$4/24) &lt;= A405)*((Data!$B$2:$B$53 + Settings!$B$4/24) &gt; A405))&gt;0)</f>
        <v>0</v>
      </c>
      <c r="E405">
        <f>--(SUMPRODUCT((Data!$C$2:$C$53="K12B")*((Data!$A$2:$A$53 - Settings!$B$4/24) &lt;= A405)*((Data!$B$2:$B$53 + Settings!$B$4/24) &gt; A405))&gt;0)</f>
        <v>1</v>
      </c>
      <c r="F405">
        <f>--(SUMPRODUCT((Data!$C$2:$C$53="TT2")*((Data!$A$2:$A$53 - Settings!$B$4/24) &lt;= A405)*((Data!$B$2:$B$53 + Settings!$B$4/24) &gt; A405))&gt;0)</f>
        <v>0</v>
      </c>
    </row>
    <row r="406" spans="1:6" ht="15.6" x14ac:dyDescent="0.3">
      <c r="A406" s="1">
        <v>45948.833680555559</v>
      </c>
      <c r="B406">
        <f>--(SUMPRODUCT((Data!$C$2:$C$53="K12C")*((Data!$A$2:$A$53 - Settings!$B$4/24) &lt;= A406)*((Data!$B$2:$B$53 + Settings!$B$4/24) &gt; A406))&gt;0)</f>
        <v>0</v>
      </c>
      <c r="C406">
        <f>--(SUMPRODUCT((Data!$C$2:$C$53="K12A")*((Data!$A$2:$A$53 - Settings!$B$4/24) &lt;= A406)*((Data!$B$2:$B$53 + Settings!$B$4/24) &gt; A406))&gt;0)</f>
        <v>0</v>
      </c>
      <c r="D406">
        <f>--(SUMPRODUCT((Data!$C$2:$C$53="K12")*((Data!$A$2:$A$53 - Settings!$B$4/24) &lt;= A406)*((Data!$B$2:$B$53 + Settings!$B$4/24) &gt; A406))&gt;0)</f>
        <v>0</v>
      </c>
      <c r="E406">
        <f>--(SUMPRODUCT((Data!$C$2:$C$53="K12B")*((Data!$A$2:$A$53 - Settings!$B$4/24) &lt;= A406)*((Data!$B$2:$B$53 + Settings!$B$4/24) &gt; A406))&gt;0)</f>
        <v>1</v>
      </c>
      <c r="F406">
        <f>--(SUMPRODUCT((Data!$C$2:$C$53="TT2")*((Data!$A$2:$A$53 - Settings!$B$4/24) &lt;= A406)*((Data!$B$2:$B$53 + Settings!$B$4/24) &gt; A406))&gt;0)</f>
        <v>0</v>
      </c>
    </row>
    <row r="407" spans="1:6" ht="15.6" x14ac:dyDescent="0.3">
      <c r="A407" s="1">
        <v>45948.875347222223</v>
      </c>
      <c r="B407">
        <f>--(SUMPRODUCT((Data!$C$2:$C$53="K12C")*((Data!$A$2:$A$53 - Settings!$B$4/24) &lt;= A407)*((Data!$B$2:$B$53 + Settings!$B$4/24) &gt; A407))&gt;0)</f>
        <v>0</v>
      </c>
      <c r="C407">
        <f>--(SUMPRODUCT((Data!$C$2:$C$53="K12A")*((Data!$A$2:$A$53 - Settings!$B$4/24) &lt;= A407)*((Data!$B$2:$B$53 + Settings!$B$4/24) &gt; A407))&gt;0)</f>
        <v>0</v>
      </c>
      <c r="D407">
        <f>--(SUMPRODUCT((Data!$C$2:$C$53="K12")*((Data!$A$2:$A$53 - Settings!$B$4/24) &lt;= A407)*((Data!$B$2:$B$53 + Settings!$B$4/24) &gt; A407))&gt;0)</f>
        <v>0</v>
      </c>
      <c r="E407">
        <f>--(SUMPRODUCT((Data!$C$2:$C$53="K12B")*((Data!$A$2:$A$53 - Settings!$B$4/24) &lt;= A407)*((Data!$B$2:$B$53 + Settings!$B$4/24) &gt; A407))&gt;0)</f>
        <v>1</v>
      </c>
      <c r="F407">
        <f>--(SUMPRODUCT((Data!$C$2:$C$53="TT2")*((Data!$A$2:$A$53 - Settings!$B$4/24) &lt;= A407)*((Data!$B$2:$B$53 + Settings!$B$4/24) &gt; A407))&gt;0)</f>
        <v>0</v>
      </c>
    </row>
    <row r="408" spans="1:6" ht="15.6" x14ac:dyDescent="0.3">
      <c r="A408" s="1">
        <v>45948.917013888888</v>
      </c>
      <c r="B408">
        <f>--(SUMPRODUCT((Data!$C$2:$C$53="K12C")*((Data!$A$2:$A$53 - Settings!$B$4/24) &lt;= A408)*((Data!$B$2:$B$53 + Settings!$B$4/24) &gt; A408))&gt;0)</f>
        <v>0</v>
      </c>
      <c r="C408">
        <f>--(SUMPRODUCT((Data!$C$2:$C$53="K12A")*((Data!$A$2:$A$53 - Settings!$B$4/24) &lt;= A408)*((Data!$B$2:$B$53 + Settings!$B$4/24) &gt; A408))&gt;0)</f>
        <v>0</v>
      </c>
      <c r="D408">
        <f>--(SUMPRODUCT((Data!$C$2:$C$53="K12")*((Data!$A$2:$A$53 - Settings!$B$4/24) &lt;= A408)*((Data!$B$2:$B$53 + Settings!$B$4/24) &gt; A408))&gt;0)</f>
        <v>0</v>
      </c>
      <c r="E408">
        <f>--(SUMPRODUCT((Data!$C$2:$C$53="K12B")*((Data!$A$2:$A$53 - Settings!$B$4/24) &lt;= A408)*((Data!$B$2:$B$53 + Settings!$B$4/24) &gt; A408))&gt;0)</f>
        <v>1</v>
      </c>
      <c r="F408">
        <f>--(SUMPRODUCT((Data!$C$2:$C$53="TT2")*((Data!$A$2:$A$53 - Settings!$B$4/24) &lt;= A408)*((Data!$B$2:$B$53 + Settings!$B$4/24) &gt; A408))&gt;0)</f>
        <v>0</v>
      </c>
    </row>
    <row r="409" spans="1:6" ht="15.6" x14ac:dyDescent="0.3">
      <c r="A409" s="1">
        <v>45948.958680555559</v>
      </c>
      <c r="B409">
        <f>--(SUMPRODUCT((Data!$C$2:$C$53="K12C")*((Data!$A$2:$A$53 - Settings!$B$4/24) &lt;= A409)*((Data!$B$2:$B$53 + Settings!$B$4/24) &gt; A409))&gt;0)</f>
        <v>0</v>
      </c>
      <c r="C409">
        <f>--(SUMPRODUCT((Data!$C$2:$C$53="K12A")*((Data!$A$2:$A$53 - Settings!$B$4/24) &lt;= A409)*((Data!$B$2:$B$53 + Settings!$B$4/24) &gt; A409))&gt;0)</f>
        <v>0</v>
      </c>
      <c r="D409">
        <f>--(SUMPRODUCT((Data!$C$2:$C$53="K12")*((Data!$A$2:$A$53 - Settings!$B$4/24) &lt;= A409)*((Data!$B$2:$B$53 + Settings!$B$4/24) &gt; A409))&gt;0)</f>
        <v>0</v>
      </c>
      <c r="E409">
        <f>--(SUMPRODUCT((Data!$C$2:$C$53="K12B")*((Data!$A$2:$A$53 - Settings!$B$4/24) &lt;= A409)*((Data!$B$2:$B$53 + Settings!$B$4/24) &gt; A409))&gt;0)</f>
        <v>1</v>
      </c>
      <c r="F409">
        <f>--(SUMPRODUCT((Data!$C$2:$C$53="TT2")*((Data!$A$2:$A$53 - Settings!$B$4/24) &lt;= A409)*((Data!$B$2:$B$53 + Settings!$B$4/24) &gt; A409))&gt;0)</f>
        <v>0</v>
      </c>
    </row>
    <row r="410" spans="1:6" ht="15.6" x14ac:dyDescent="0.3">
      <c r="A410" s="1">
        <v>45949.000347222223</v>
      </c>
      <c r="B410">
        <f>--(SUMPRODUCT((Data!$C$2:$C$53="K12C")*((Data!$A$2:$A$53 - Settings!$B$4/24) &lt;= A410)*((Data!$B$2:$B$53 + Settings!$B$4/24) &gt; A410))&gt;0)</f>
        <v>0</v>
      </c>
      <c r="C410">
        <f>--(SUMPRODUCT((Data!$C$2:$C$53="K12A")*((Data!$A$2:$A$53 - Settings!$B$4/24) &lt;= A410)*((Data!$B$2:$B$53 + Settings!$B$4/24) &gt; A410))&gt;0)</f>
        <v>0</v>
      </c>
      <c r="D410">
        <f>--(SUMPRODUCT((Data!$C$2:$C$53="K12")*((Data!$A$2:$A$53 - Settings!$B$4/24) &lt;= A410)*((Data!$B$2:$B$53 + Settings!$B$4/24) &gt; A410))&gt;0)</f>
        <v>0</v>
      </c>
      <c r="E410">
        <f>--(SUMPRODUCT((Data!$C$2:$C$53="K12B")*((Data!$A$2:$A$53 - Settings!$B$4/24) &lt;= A410)*((Data!$B$2:$B$53 + Settings!$B$4/24) &gt; A410))&gt;0)</f>
        <v>1</v>
      </c>
      <c r="F410">
        <f>--(SUMPRODUCT((Data!$C$2:$C$53="TT2")*((Data!$A$2:$A$53 - Settings!$B$4/24) &lt;= A410)*((Data!$B$2:$B$53 + Settings!$B$4/24) &gt; A410))&gt;0)</f>
        <v>0</v>
      </c>
    </row>
    <row r="411" spans="1:6" ht="15.6" x14ac:dyDescent="0.3">
      <c r="A411" s="1">
        <v>45949.042013888888</v>
      </c>
      <c r="B411">
        <f>--(SUMPRODUCT((Data!$C$2:$C$53="K12C")*((Data!$A$2:$A$53 - Settings!$B$4/24) &lt;= A411)*((Data!$B$2:$B$53 + Settings!$B$4/24) &gt; A411))&gt;0)</f>
        <v>0</v>
      </c>
      <c r="C411">
        <f>--(SUMPRODUCT((Data!$C$2:$C$53="K12A")*((Data!$A$2:$A$53 - Settings!$B$4/24) &lt;= A411)*((Data!$B$2:$B$53 + Settings!$B$4/24) &gt; A411))&gt;0)</f>
        <v>0</v>
      </c>
      <c r="D411">
        <f>--(SUMPRODUCT((Data!$C$2:$C$53="K12")*((Data!$A$2:$A$53 - Settings!$B$4/24) &lt;= A411)*((Data!$B$2:$B$53 + Settings!$B$4/24) &gt; A411))&gt;0)</f>
        <v>0</v>
      </c>
      <c r="E411">
        <f>--(SUMPRODUCT((Data!$C$2:$C$53="K12B")*((Data!$A$2:$A$53 - Settings!$B$4/24) &lt;= A411)*((Data!$B$2:$B$53 + Settings!$B$4/24) &gt; A411))&gt;0)</f>
        <v>1</v>
      </c>
      <c r="F411">
        <f>--(SUMPRODUCT((Data!$C$2:$C$53="TT2")*((Data!$A$2:$A$53 - Settings!$B$4/24) &lt;= A411)*((Data!$B$2:$B$53 + Settings!$B$4/24) &gt; A411))&gt;0)</f>
        <v>0</v>
      </c>
    </row>
    <row r="412" spans="1:6" ht="15.6" x14ac:dyDescent="0.3">
      <c r="A412" s="1">
        <v>45949.083680555559</v>
      </c>
      <c r="B412">
        <f>--(SUMPRODUCT((Data!$C$2:$C$53="K12C")*((Data!$A$2:$A$53 - Settings!$B$4/24) &lt;= A412)*((Data!$B$2:$B$53 + Settings!$B$4/24) &gt; A412))&gt;0)</f>
        <v>0</v>
      </c>
      <c r="C412">
        <f>--(SUMPRODUCT((Data!$C$2:$C$53="K12A")*((Data!$A$2:$A$53 - Settings!$B$4/24) &lt;= A412)*((Data!$B$2:$B$53 + Settings!$B$4/24) &gt; A412))&gt;0)</f>
        <v>0</v>
      </c>
      <c r="D412">
        <f>--(SUMPRODUCT((Data!$C$2:$C$53="K12")*((Data!$A$2:$A$53 - Settings!$B$4/24) &lt;= A412)*((Data!$B$2:$B$53 + Settings!$B$4/24) &gt; A412))&gt;0)</f>
        <v>0</v>
      </c>
      <c r="E412">
        <f>--(SUMPRODUCT((Data!$C$2:$C$53="K12B")*((Data!$A$2:$A$53 - Settings!$B$4/24) &lt;= A412)*((Data!$B$2:$B$53 + Settings!$B$4/24) &gt; A412))&gt;0)</f>
        <v>1</v>
      </c>
      <c r="F412">
        <f>--(SUMPRODUCT((Data!$C$2:$C$53="TT2")*((Data!$A$2:$A$53 - Settings!$B$4/24) &lt;= A412)*((Data!$B$2:$B$53 + Settings!$B$4/24) &gt; A412))&gt;0)</f>
        <v>0</v>
      </c>
    </row>
    <row r="413" spans="1:6" ht="15.6" x14ac:dyDescent="0.3">
      <c r="A413" s="1">
        <v>45949.125347222223</v>
      </c>
      <c r="B413">
        <f>--(SUMPRODUCT((Data!$C$2:$C$53="K12C")*((Data!$A$2:$A$53 - Settings!$B$4/24) &lt;= A413)*((Data!$B$2:$B$53 + Settings!$B$4/24) &gt; A413))&gt;0)</f>
        <v>0</v>
      </c>
      <c r="C413">
        <f>--(SUMPRODUCT((Data!$C$2:$C$53="K12A")*((Data!$A$2:$A$53 - Settings!$B$4/24) &lt;= A413)*((Data!$B$2:$B$53 + Settings!$B$4/24) &gt; A413))&gt;0)</f>
        <v>0</v>
      </c>
      <c r="D413">
        <f>--(SUMPRODUCT((Data!$C$2:$C$53="K12")*((Data!$A$2:$A$53 - Settings!$B$4/24) &lt;= A413)*((Data!$B$2:$B$53 + Settings!$B$4/24) &gt; A413))&gt;0)</f>
        <v>1</v>
      </c>
      <c r="E413">
        <f>--(SUMPRODUCT((Data!$C$2:$C$53="K12B")*((Data!$A$2:$A$53 - Settings!$B$4/24) &lt;= A413)*((Data!$B$2:$B$53 + Settings!$B$4/24) &gt; A413))&gt;0)</f>
        <v>1</v>
      </c>
      <c r="F413">
        <f>--(SUMPRODUCT((Data!$C$2:$C$53="TT2")*((Data!$A$2:$A$53 - Settings!$B$4/24) &lt;= A413)*((Data!$B$2:$B$53 + Settings!$B$4/24) &gt; A413))&gt;0)</f>
        <v>0</v>
      </c>
    </row>
    <row r="414" spans="1:6" ht="15.6" x14ac:dyDescent="0.3">
      <c r="A414" s="1">
        <v>45949.167013888888</v>
      </c>
      <c r="B414">
        <f>--(SUMPRODUCT((Data!$C$2:$C$53="K12C")*((Data!$A$2:$A$53 - Settings!$B$4/24) &lt;= A414)*((Data!$B$2:$B$53 + Settings!$B$4/24) &gt; A414))&gt;0)</f>
        <v>0</v>
      </c>
      <c r="C414">
        <f>--(SUMPRODUCT((Data!$C$2:$C$53="K12A")*((Data!$A$2:$A$53 - Settings!$B$4/24) &lt;= A414)*((Data!$B$2:$B$53 + Settings!$B$4/24) &gt; A414))&gt;0)</f>
        <v>0</v>
      </c>
      <c r="D414">
        <f>--(SUMPRODUCT((Data!$C$2:$C$53="K12")*((Data!$A$2:$A$53 - Settings!$B$4/24) &lt;= A414)*((Data!$B$2:$B$53 + Settings!$B$4/24) &gt; A414))&gt;0)</f>
        <v>1</v>
      </c>
      <c r="E414">
        <f>--(SUMPRODUCT((Data!$C$2:$C$53="K12B")*((Data!$A$2:$A$53 - Settings!$B$4/24) &lt;= A414)*((Data!$B$2:$B$53 + Settings!$B$4/24) &gt; A414))&gt;0)</f>
        <v>1</v>
      </c>
      <c r="F414">
        <f>--(SUMPRODUCT((Data!$C$2:$C$53="TT2")*((Data!$A$2:$A$53 - Settings!$B$4/24) &lt;= A414)*((Data!$B$2:$B$53 + Settings!$B$4/24) &gt; A414))&gt;0)</f>
        <v>0</v>
      </c>
    </row>
    <row r="415" spans="1:6" ht="15.6" x14ac:dyDescent="0.3">
      <c r="A415" s="1">
        <v>45949.208680555559</v>
      </c>
      <c r="B415">
        <f>--(SUMPRODUCT((Data!$C$2:$C$53="K12C")*((Data!$A$2:$A$53 - Settings!$B$4/24) &lt;= A415)*((Data!$B$2:$B$53 + Settings!$B$4/24) &gt; A415))&gt;0)</f>
        <v>0</v>
      </c>
      <c r="C415">
        <f>--(SUMPRODUCT((Data!$C$2:$C$53="K12A")*((Data!$A$2:$A$53 - Settings!$B$4/24) &lt;= A415)*((Data!$B$2:$B$53 + Settings!$B$4/24) &gt; A415))&gt;0)</f>
        <v>0</v>
      </c>
      <c r="D415">
        <f>--(SUMPRODUCT((Data!$C$2:$C$53="K12")*((Data!$A$2:$A$53 - Settings!$B$4/24) &lt;= A415)*((Data!$B$2:$B$53 + Settings!$B$4/24) &gt; A415))&gt;0)</f>
        <v>1</v>
      </c>
      <c r="E415">
        <f>--(SUMPRODUCT((Data!$C$2:$C$53="K12B")*((Data!$A$2:$A$53 - Settings!$B$4/24) &lt;= A415)*((Data!$B$2:$B$53 + Settings!$B$4/24) &gt; A415))&gt;0)</f>
        <v>1</v>
      </c>
      <c r="F415">
        <f>--(SUMPRODUCT((Data!$C$2:$C$53="TT2")*((Data!$A$2:$A$53 - Settings!$B$4/24) &lt;= A415)*((Data!$B$2:$B$53 + Settings!$B$4/24) &gt; A415))&gt;0)</f>
        <v>0</v>
      </c>
    </row>
    <row r="416" spans="1:6" ht="15.6" x14ac:dyDescent="0.3">
      <c r="A416" s="1">
        <v>45949.250347222223</v>
      </c>
      <c r="B416">
        <f>--(SUMPRODUCT((Data!$C$2:$C$53="K12C")*((Data!$A$2:$A$53 - Settings!$B$4/24) &lt;= A416)*((Data!$B$2:$B$53 + Settings!$B$4/24) &gt; A416))&gt;0)</f>
        <v>0</v>
      </c>
      <c r="C416">
        <f>--(SUMPRODUCT((Data!$C$2:$C$53="K12A")*((Data!$A$2:$A$53 - Settings!$B$4/24) &lt;= A416)*((Data!$B$2:$B$53 + Settings!$B$4/24) &gt; A416))&gt;0)</f>
        <v>0</v>
      </c>
      <c r="D416">
        <f>--(SUMPRODUCT((Data!$C$2:$C$53="K12")*((Data!$A$2:$A$53 - Settings!$B$4/24) &lt;= A416)*((Data!$B$2:$B$53 + Settings!$B$4/24) &gt; A416))&gt;0)</f>
        <v>1</v>
      </c>
      <c r="E416">
        <f>--(SUMPRODUCT((Data!$C$2:$C$53="K12B")*((Data!$A$2:$A$53 - Settings!$B$4/24) &lt;= A416)*((Data!$B$2:$B$53 + Settings!$B$4/24) &gt; A416))&gt;0)</f>
        <v>1</v>
      </c>
      <c r="F416">
        <f>--(SUMPRODUCT((Data!$C$2:$C$53="TT2")*((Data!$A$2:$A$53 - Settings!$B$4/24) &lt;= A416)*((Data!$B$2:$B$53 + Settings!$B$4/24) &gt; A416))&gt;0)</f>
        <v>0</v>
      </c>
    </row>
    <row r="417" spans="1:6" ht="15.6" x14ac:dyDescent="0.3">
      <c r="A417" s="1">
        <v>45949.292013888888</v>
      </c>
      <c r="B417">
        <f>--(SUMPRODUCT((Data!$C$2:$C$53="K12C")*((Data!$A$2:$A$53 - Settings!$B$4/24) &lt;= A417)*((Data!$B$2:$B$53 + Settings!$B$4/24) &gt; A417))&gt;0)</f>
        <v>0</v>
      </c>
      <c r="C417">
        <f>--(SUMPRODUCT((Data!$C$2:$C$53="K12A")*((Data!$A$2:$A$53 - Settings!$B$4/24) &lt;= A417)*((Data!$B$2:$B$53 + Settings!$B$4/24) &gt; A417))&gt;0)</f>
        <v>0</v>
      </c>
      <c r="D417">
        <f>--(SUMPRODUCT((Data!$C$2:$C$53="K12")*((Data!$A$2:$A$53 - Settings!$B$4/24) &lt;= A417)*((Data!$B$2:$B$53 + Settings!$B$4/24) &gt; A417))&gt;0)</f>
        <v>1</v>
      </c>
      <c r="E417">
        <f>--(SUMPRODUCT((Data!$C$2:$C$53="K12B")*((Data!$A$2:$A$53 - Settings!$B$4/24) &lt;= A417)*((Data!$B$2:$B$53 + Settings!$B$4/24) &gt; A417))&gt;0)</f>
        <v>1</v>
      </c>
      <c r="F417">
        <f>--(SUMPRODUCT((Data!$C$2:$C$53="TT2")*((Data!$A$2:$A$53 - Settings!$B$4/24) &lt;= A417)*((Data!$B$2:$B$53 + Settings!$B$4/24) &gt; A417))&gt;0)</f>
        <v>0</v>
      </c>
    </row>
    <row r="418" spans="1:6" ht="15.6" x14ac:dyDescent="0.3">
      <c r="A418" s="1">
        <v>45949.333680555559</v>
      </c>
      <c r="B418">
        <f>--(SUMPRODUCT((Data!$C$2:$C$53="K12C")*((Data!$A$2:$A$53 - Settings!$B$4/24) &lt;= A418)*((Data!$B$2:$B$53 + Settings!$B$4/24) &gt; A418))&gt;0)</f>
        <v>0</v>
      </c>
      <c r="C418">
        <f>--(SUMPRODUCT((Data!$C$2:$C$53="K12A")*((Data!$A$2:$A$53 - Settings!$B$4/24) &lt;= A418)*((Data!$B$2:$B$53 + Settings!$B$4/24) &gt; A418))&gt;0)</f>
        <v>0</v>
      </c>
      <c r="D418">
        <f>--(SUMPRODUCT((Data!$C$2:$C$53="K12")*((Data!$A$2:$A$53 - Settings!$B$4/24) &lt;= A418)*((Data!$B$2:$B$53 + Settings!$B$4/24) &gt; A418))&gt;0)</f>
        <v>1</v>
      </c>
      <c r="E418">
        <f>--(SUMPRODUCT((Data!$C$2:$C$53="K12B")*((Data!$A$2:$A$53 - Settings!$B$4/24) &lt;= A418)*((Data!$B$2:$B$53 + Settings!$B$4/24) &gt; A418))&gt;0)</f>
        <v>1</v>
      </c>
      <c r="F418">
        <f>--(SUMPRODUCT((Data!$C$2:$C$53="TT2")*((Data!$A$2:$A$53 - Settings!$B$4/24) &lt;= A418)*((Data!$B$2:$B$53 + Settings!$B$4/24) &gt; A418))&gt;0)</f>
        <v>0</v>
      </c>
    </row>
    <row r="419" spans="1:6" ht="15.6" x14ac:dyDescent="0.3">
      <c r="A419" s="1">
        <v>45949.375347222223</v>
      </c>
      <c r="B419">
        <f>--(SUMPRODUCT((Data!$C$2:$C$53="K12C")*((Data!$A$2:$A$53 - Settings!$B$4/24) &lt;= A419)*((Data!$B$2:$B$53 + Settings!$B$4/24) &gt; A419))&gt;0)</f>
        <v>0</v>
      </c>
      <c r="C419">
        <f>--(SUMPRODUCT((Data!$C$2:$C$53="K12A")*((Data!$A$2:$A$53 - Settings!$B$4/24) &lt;= A419)*((Data!$B$2:$B$53 + Settings!$B$4/24) &gt; A419))&gt;0)</f>
        <v>0</v>
      </c>
      <c r="D419">
        <f>--(SUMPRODUCT((Data!$C$2:$C$53="K12")*((Data!$A$2:$A$53 - Settings!$B$4/24) &lt;= A419)*((Data!$B$2:$B$53 + Settings!$B$4/24) &gt; A419))&gt;0)</f>
        <v>1</v>
      </c>
      <c r="E419">
        <f>--(SUMPRODUCT((Data!$C$2:$C$53="K12B")*((Data!$A$2:$A$53 - Settings!$B$4/24) &lt;= A419)*((Data!$B$2:$B$53 + Settings!$B$4/24) &gt; A419))&gt;0)</f>
        <v>1</v>
      </c>
      <c r="F419">
        <f>--(SUMPRODUCT((Data!$C$2:$C$53="TT2")*((Data!$A$2:$A$53 - Settings!$B$4/24) &lt;= A419)*((Data!$B$2:$B$53 + Settings!$B$4/24) &gt; A419))&gt;0)</f>
        <v>0</v>
      </c>
    </row>
    <row r="420" spans="1:6" ht="15.6" x14ac:dyDescent="0.3">
      <c r="A420" s="1">
        <v>45949.417013888888</v>
      </c>
      <c r="B420">
        <f>--(SUMPRODUCT((Data!$C$2:$C$53="K12C")*((Data!$A$2:$A$53 - Settings!$B$4/24) &lt;= A420)*((Data!$B$2:$B$53 + Settings!$B$4/24) &gt; A420))&gt;0)</f>
        <v>0</v>
      </c>
      <c r="C420">
        <f>--(SUMPRODUCT((Data!$C$2:$C$53="K12A")*((Data!$A$2:$A$53 - Settings!$B$4/24) &lt;= A420)*((Data!$B$2:$B$53 + Settings!$B$4/24) &gt; A420))&gt;0)</f>
        <v>0</v>
      </c>
      <c r="D420">
        <f>--(SUMPRODUCT((Data!$C$2:$C$53="K12")*((Data!$A$2:$A$53 - Settings!$B$4/24) &lt;= A420)*((Data!$B$2:$B$53 + Settings!$B$4/24) &gt; A420))&gt;0)</f>
        <v>1</v>
      </c>
      <c r="E420">
        <f>--(SUMPRODUCT((Data!$C$2:$C$53="K12B")*((Data!$A$2:$A$53 - Settings!$B$4/24) &lt;= A420)*((Data!$B$2:$B$53 + Settings!$B$4/24) &gt; A420))&gt;0)</f>
        <v>1</v>
      </c>
      <c r="F420">
        <f>--(SUMPRODUCT((Data!$C$2:$C$53="TT2")*((Data!$A$2:$A$53 - Settings!$B$4/24) &lt;= A420)*((Data!$B$2:$B$53 + Settings!$B$4/24) &gt; A420))&gt;0)</f>
        <v>0</v>
      </c>
    </row>
    <row r="421" spans="1:6" ht="15.6" x14ac:dyDescent="0.3">
      <c r="A421" s="1">
        <v>45949.458680555559</v>
      </c>
      <c r="B421">
        <f>--(SUMPRODUCT((Data!$C$2:$C$53="K12C")*((Data!$A$2:$A$53 - Settings!$B$4/24) &lt;= A421)*((Data!$B$2:$B$53 + Settings!$B$4/24) &gt; A421))&gt;0)</f>
        <v>0</v>
      </c>
      <c r="C421">
        <f>--(SUMPRODUCT((Data!$C$2:$C$53="K12A")*((Data!$A$2:$A$53 - Settings!$B$4/24) &lt;= A421)*((Data!$B$2:$B$53 + Settings!$B$4/24) &gt; A421))&gt;0)</f>
        <v>0</v>
      </c>
      <c r="D421">
        <f>--(SUMPRODUCT((Data!$C$2:$C$53="K12")*((Data!$A$2:$A$53 - Settings!$B$4/24) &lt;= A421)*((Data!$B$2:$B$53 + Settings!$B$4/24) &gt; A421))&gt;0)</f>
        <v>1</v>
      </c>
      <c r="E421">
        <f>--(SUMPRODUCT((Data!$C$2:$C$53="K12B")*((Data!$A$2:$A$53 - Settings!$B$4/24) &lt;= A421)*((Data!$B$2:$B$53 + Settings!$B$4/24) &gt; A421))&gt;0)</f>
        <v>1</v>
      </c>
      <c r="F421">
        <f>--(SUMPRODUCT((Data!$C$2:$C$53="TT2")*((Data!$A$2:$A$53 - Settings!$B$4/24) &lt;= A421)*((Data!$B$2:$B$53 + Settings!$B$4/24) &gt; A421))&gt;0)</f>
        <v>0</v>
      </c>
    </row>
    <row r="422" spans="1:6" ht="15.6" x14ac:dyDescent="0.3">
      <c r="A422" s="1">
        <v>45949.500347222223</v>
      </c>
      <c r="B422">
        <f>--(SUMPRODUCT((Data!$C$2:$C$53="K12C")*((Data!$A$2:$A$53 - Settings!$B$4/24) &lt;= A422)*((Data!$B$2:$B$53 + Settings!$B$4/24) &gt; A422))&gt;0)</f>
        <v>0</v>
      </c>
      <c r="C422">
        <f>--(SUMPRODUCT((Data!$C$2:$C$53="K12A")*((Data!$A$2:$A$53 - Settings!$B$4/24) &lt;= A422)*((Data!$B$2:$B$53 + Settings!$B$4/24) &gt; A422))&gt;0)</f>
        <v>0</v>
      </c>
      <c r="D422">
        <f>--(SUMPRODUCT((Data!$C$2:$C$53="K12")*((Data!$A$2:$A$53 - Settings!$B$4/24) &lt;= A422)*((Data!$B$2:$B$53 + Settings!$B$4/24) &gt; A422))&gt;0)</f>
        <v>1</v>
      </c>
      <c r="E422">
        <f>--(SUMPRODUCT((Data!$C$2:$C$53="K12B")*((Data!$A$2:$A$53 - Settings!$B$4/24) &lt;= A422)*((Data!$B$2:$B$53 + Settings!$B$4/24) &gt; A422))&gt;0)</f>
        <v>1</v>
      </c>
      <c r="F422">
        <f>--(SUMPRODUCT((Data!$C$2:$C$53="TT2")*((Data!$A$2:$A$53 - Settings!$B$4/24) &lt;= A422)*((Data!$B$2:$B$53 + Settings!$B$4/24) &gt; A422))&gt;0)</f>
        <v>0</v>
      </c>
    </row>
    <row r="423" spans="1:6" ht="15.6" x14ac:dyDescent="0.3">
      <c r="A423" s="1">
        <v>45949.542013888888</v>
      </c>
      <c r="B423">
        <f>--(SUMPRODUCT((Data!$C$2:$C$53="K12C")*((Data!$A$2:$A$53 - Settings!$B$4/24) &lt;= A423)*((Data!$B$2:$B$53 + Settings!$B$4/24) &gt; A423))&gt;0)</f>
        <v>0</v>
      </c>
      <c r="C423">
        <f>--(SUMPRODUCT((Data!$C$2:$C$53="K12A")*((Data!$A$2:$A$53 - Settings!$B$4/24) &lt;= A423)*((Data!$B$2:$B$53 + Settings!$B$4/24) &gt; A423))&gt;0)</f>
        <v>0</v>
      </c>
      <c r="D423">
        <f>--(SUMPRODUCT((Data!$C$2:$C$53="K12")*((Data!$A$2:$A$53 - Settings!$B$4/24) &lt;= A423)*((Data!$B$2:$B$53 + Settings!$B$4/24) &gt; A423))&gt;0)</f>
        <v>1</v>
      </c>
      <c r="E423">
        <f>--(SUMPRODUCT((Data!$C$2:$C$53="K12B")*((Data!$A$2:$A$53 - Settings!$B$4/24) &lt;= A423)*((Data!$B$2:$B$53 + Settings!$B$4/24) &gt; A423))&gt;0)</f>
        <v>1</v>
      </c>
      <c r="F423">
        <f>--(SUMPRODUCT((Data!$C$2:$C$53="TT2")*((Data!$A$2:$A$53 - Settings!$B$4/24) &lt;= A423)*((Data!$B$2:$B$53 + Settings!$B$4/24) &gt; A423))&gt;0)</f>
        <v>0</v>
      </c>
    </row>
    <row r="424" spans="1:6" ht="15.6" x14ac:dyDescent="0.3">
      <c r="A424" s="1">
        <v>45949.583680555559</v>
      </c>
      <c r="B424">
        <f>--(SUMPRODUCT((Data!$C$2:$C$53="K12C")*((Data!$A$2:$A$53 - Settings!$B$4/24) &lt;= A424)*((Data!$B$2:$B$53 + Settings!$B$4/24) &gt; A424))&gt;0)</f>
        <v>0</v>
      </c>
      <c r="C424">
        <f>--(SUMPRODUCT((Data!$C$2:$C$53="K12A")*((Data!$A$2:$A$53 - Settings!$B$4/24) &lt;= A424)*((Data!$B$2:$B$53 + Settings!$B$4/24) &gt; A424))&gt;0)</f>
        <v>0</v>
      </c>
      <c r="D424">
        <f>--(SUMPRODUCT((Data!$C$2:$C$53="K12")*((Data!$A$2:$A$53 - Settings!$B$4/24) &lt;= A424)*((Data!$B$2:$B$53 + Settings!$B$4/24) &gt; A424))&gt;0)</f>
        <v>1</v>
      </c>
      <c r="E424">
        <f>--(SUMPRODUCT((Data!$C$2:$C$53="K12B")*((Data!$A$2:$A$53 - Settings!$B$4/24) &lt;= A424)*((Data!$B$2:$B$53 + Settings!$B$4/24) &gt; A424))&gt;0)</f>
        <v>1</v>
      </c>
      <c r="F424">
        <f>--(SUMPRODUCT((Data!$C$2:$C$53="TT2")*((Data!$A$2:$A$53 - Settings!$B$4/24) &lt;= A424)*((Data!$B$2:$B$53 + Settings!$B$4/24) &gt; A424))&gt;0)</f>
        <v>1</v>
      </c>
    </row>
    <row r="425" spans="1:6" ht="15.6" x14ac:dyDescent="0.3">
      <c r="A425" s="1">
        <v>45949.625347222223</v>
      </c>
      <c r="B425">
        <f>--(SUMPRODUCT((Data!$C$2:$C$53="K12C")*((Data!$A$2:$A$53 - Settings!$B$4/24) &lt;= A425)*((Data!$B$2:$B$53 + Settings!$B$4/24) &gt; A425))&gt;0)</f>
        <v>0</v>
      </c>
      <c r="C425">
        <f>--(SUMPRODUCT((Data!$C$2:$C$53="K12A")*((Data!$A$2:$A$53 - Settings!$B$4/24) &lt;= A425)*((Data!$B$2:$B$53 + Settings!$B$4/24) &gt; A425))&gt;0)</f>
        <v>0</v>
      </c>
      <c r="D425">
        <f>--(SUMPRODUCT((Data!$C$2:$C$53="K12")*((Data!$A$2:$A$53 - Settings!$B$4/24) &lt;= A425)*((Data!$B$2:$B$53 + Settings!$B$4/24) &gt; A425))&gt;0)</f>
        <v>1</v>
      </c>
      <c r="E425">
        <f>--(SUMPRODUCT((Data!$C$2:$C$53="K12B")*((Data!$A$2:$A$53 - Settings!$B$4/24) &lt;= A425)*((Data!$B$2:$B$53 + Settings!$B$4/24) &gt; A425))&gt;0)</f>
        <v>1</v>
      </c>
      <c r="F425">
        <f>--(SUMPRODUCT((Data!$C$2:$C$53="TT2")*((Data!$A$2:$A$53 - Settings!$B$4/24) &lt;= A425)*((Data!$B$2:$B$53 + Settings!$B$4/24) &gt; A425))&gt;0)</f>
        <v>1</v>
      </c>
    </row>
    <row r="426" spans="1:6" ht="15.6" x14ac:dyDescent="0.3">
      <c r="A426" s="1">
        <v>45949.667013888888</v>
      </c>
      <c r="B426">
        <f>--(SUMPRODUCT((Data!$C$2:$C$53="K12C")*((Data!$A$2:$A$53 - Settings!$B$4/24) &lt;= A426)*((Data!$B$2:$B$53 + Settings!$B$4/24) &gt; A426))&gt;0)</f>
        <v>0</v>
      </c>
      <c r="C426">
        <f>--(SUMPRODUCT((Data!$C$2:$C$53="K12A")*((Data!$A$2:$A$53 - Settings!$B$4/24) &lt;= A426)*((Data!$B$2:$B$53 + Settings!$B$4/24) &gt; A426))&gt;0)</f>
        <v>0</v>
      </c>
      <c r="D426">
        <f>--(SUMPRODUCT((Data!$C$2:$C$53="K12")*((Data!$A$2:$A$53 - Settings!$B$4/24) &lt;= A426)*((Data!$B$2:$B$53 + Settings!$B$4/24) &gt; A426))&gt;0)</f>
        <v>1</v>
      </c>
      <c r="E426">
        <f>--(SUMPRODUCT((Data!$C$2:$C$53="K12B")*((Data!$A$2:$A$53 - Settings!$B$4/24) &lt;= A426)*((Data!$B$2:$B$53 + Settings!$B$4/24) &gt; A426))&gt;0)</f>
        <v>1</v>
      </c>
      <c r="F426">
        <f>--(SUMPRODUCT((Data!$C$2:$C$53="TT2")*((Data!$A$2:$A$53 - Settings!$B$4/24) &lt;= A426)*((Data!$B$2:$B$53 + Settings!$B$4/24) &gt; A426))&gt;0)</f>
        <v>1</v>
      </c>
    </row>
    <row r="427" spans="1:6" ht="15.6" x14ac:dyDescent="0.3">
      <c r="A427" s="1">
        <v>45949.708680555559</v>
      </c>
      <c r="B427">
        <f>--(SUMPRODUCT((Data!$C$2:$C$53="K12C")*((Data!$A$2:$A$53 - Settings!$B$4/24) &lt;= A427)*((Data!$B$2:$B$53 + Settings!$B$4/24) &gt; A427))&gt;0)</f>
        <v>0</v>
      </c>
      <c r="C427">
        <f>--(SUMPRODUCT((Data!$C$2:$C$53="K12A")*((Data!$A$2:$A$53 - Settings!$B$4/24) &lt;= A427)*((Data!$B$2:$B$53 + Settings!$B$4/24) &gt; A427))&gt;0)</f>
        <v>0</v>
      </c>
      <c r="D427">
        <f>--(SUMPRODUCT((Data!$C$2:$C$53="K12")*((Data!$A$2:$A$53 - Settings!$B$4/24) &lt;= A427)*((Data!$B$2:$B$53 + Settings!$B$4/24) &gt; A427))&gt;0)</f>
        <v>1</v>
      </c>
      <c r="E427">
        <f>--(SUMPRODUCT((Data!$C$2:$C$53="K12B")*((Data!$A$2:$A$53 - Settings!$B$4/24) &lt;= A427)*((Data!$B$2:$B$53 + Settings!$B$4/24) &gt; A427))&gt;0)</f>
        <v>1</v>
      </c>
      <c r="F427">
        <f>--(SUMPRODUCT((Data!$C$2:$C$53="TT2")*((Data!$A$2:$A$53 - Settings!$B$4/24) &lt;= A427)*((Data!$B$2:$B$53 + Settings!$B$4/24) &gt; A427))&gt;0)</f>
        <v>1</v>
      </c>
    </row>
    <row r="428" spans="1:6" ht="15.6" x14ac:dyDescent="0.3">
      <c r="A428" s="1">
        <v>45949.750347222223</v>
      </c>
      <c r="B428">
        <f>--(SUMPRODUCT((Data!$C$2:$C$53="K12C")*((Data!$A$2:$A$53 - Settings!$B$4/24) &lt;= A428)*((Data!$B$2:$B$53 + Settings!$B$4/24) &gt; A428))&gt;0)</f>
        <v>0</v>
      </c>
      <c r="C428">
        <f>--(SUMPRODUCT((Data!$C$2:$C$53="K12A")*((Data!$A$2:$A$53 - Settings!$B$4/24) &lt;= A428)*((Data!$B$2:$B$53 + Settings!$B$4/24) &gt; A428))&gt;0)</f>
        <v>0</v>
      </c>
      <c r="D428">
        <f>--(SUMPRODUCT((Data!$C$2:$C$53="K12")*((Data!$A$2:$A$53 - Settings!$B$4/24) &lt;= A428)*((Data!$B$2:$B$53 + Settings!$B$4/24) &gt; A428))&gt;0)</f>
        <v>1</v>
      </c>
      <c r="E428">
        <f>--(SUMPRODUCT((Data!$C$2:$C$53="K12B")*((Data!$A$2:$A$53 - Settings!$B$4/24) &lt;= A428)*((Data!$B$2:$B$53 + Settings!$B$4/24) &gt; A428))&gt;0)</f>
        <v>1</v>
      </c>
      <c r="F428">
        <f>--(SUMPRODUCT((Data!$C$2:$C$53="TT2")*((Data!$A$2:$A$53 - Settings!$B$4/24) &lt;= A428)*((Data!$B$2:$B$53 + Settings!$B$4/24) &gt; A428))&gt;0)</f>
        <v>1</v>
      </c>
    </row>
    <row r="429" spans="1:6" ht="15.6" x14ac:dyDescent="0.3">
      <c r="A429" s="1">
        <v>45949.792013888888</v>
      </c>
      <c r="B429">
        <f>--(SUMPRODUCT((Data!$C$2:$C$53="K12C")*((Data!$A$2:$A$53 - Settings!$B$4/24) &lt;= A429)*((Data!$B$2:$B$53 + Settings!$B$4/24) &gt; A429))&gt;0)</f>
        <v>0</v>
      </c>
      <c r="C429">
        <f>--(SUMPRODUCT((Data!$C$2:$C$53="K12A")*((Data!$A$2:$A$53 - Settings!$B$4/24) &lt;= A429)*((Data!$B$2:$B$53 + Settings!$B$4/24) &gt; A429))&gt;0)</f>
        <v>0</v>
      </c>
      <c r="D429">
        <f>--(SUMPRODUCT((Data!$C$2:$C$53="K12")*((Data!$A$2:$A$53 - Settings!$B$4/24) &lt;= A429)*((Data!$B$2:$B$53 + Settings!$B$4/24) &gt; A429))&gt;0)</f>
        <v>1</v>
      </c>
      <c r="E429">
        <f>--(SUMPRODUCT((Data!$C$2:$C$53="K12B")*((Data!$A$2:$A$53 - Settings!$B$4/24) &lt;= A429)*((Data!$B$2:$B$53 + Settings!$B$4/24) &gt; A429))&gt;0)</f>
        <v>1</v>
      </c>
      <c r="F429">
        <f>--(SUMPRODUCT((Data!$C$2:$C$53="TT2")*((Data!$A$2:$A$53 - Settings!$B$4/24) &lt;= A429)*((Data!$B$2:$B$53 + Settings!$B$4/24) &gt; A429))&gt;0)</f>
        <v>1</v>
      </c>
    </row>
    <row r="430" spans="1:6" ht="15.6" x14ac:dyDescent="0.3">
      <c r="A430" s="1">
        <v>45949.833680555559</v>
      </c>
      <c r="B430">
        <f>--(SUMPRODUCT((Data!$C$2:$C$53="K12C")*((Data!$A$2:$A$53 - Settings!$B$4/24) &lt;= A430)*((Data!$B$2:$B$53 + Settings!$B$4/24) &gt; A430))&gt;0)</f>
        <v>0</v>
      </c>
      <c r="C430">
        <f>--(SUMPRODUCT((Data!$C$2:$C$53="K12A")*((Data!$A$2:$A$53 - Settings!$B$4/24) &lt;= A430)*((Data!$B$2:$B$53 + Settings!$B$4/24) &gt; A430))&gt;0)</f>
        <v>0</v>
      </c>
      <c r="D430">
        <f>--(SUMPRODUCT((Data!$C$2:$C$53="K12")*((Data!$A$2:$A$53 - Settings!$B$4/24) &lt;= A430)*((Data!$B$2:$B$53 + Settings!$B$4/24) &gt; A430))&gt;0)</f>
        <v>1</v>
      </c>
      <c r="E430">
        <f>--(SUMPRODUCT((Data!$C$2:$C$53="K12B")*((Data!$A$2:$A$53 - Settings!$B$4/24) &lt;= A430)*((Data!$B$2:$B$53 + Settings!$B$4/24) &gt; A430))&gt;0)</f>
        <v>1</v>
      </c>
      <c r="F430">
        <f>--(SUMPRODUCT((Data!$C$2:$C$53="TT2")*((Data!$A$2:$A$53 - Settings!$B$4/24) &lt;= A430)*((Data!$B$2:$B$53 + Settings!$B$4/24) &gt; A430))&gt;0)</f>
        <v>1</v>
      </c>
    </row>
    <row r="431" spans="1:6" ht="15.6" x14ac:dyDescent="0.3">
      <c r="A431" s="1">
        <v>45949.875347222223</v>
      </c>
      <c r="B431">
        <f>--(SUMPRODUCT((Data!$C$2:$C$53="K12C")*((Data!$A$2:$A$53 - Settings!$B$4/24) &lt;= A431)*((Data!$B$2:$B$53 + Settings!$B$4/24) &gt; A431))&gt;0)</f>
        <v>0</v>
      </c>
      <c r="C431">
        <f>--(SUMPRODUCT((Data!$C$2:$C$53="K12A")*((Data!$A$2:$A$53 - Settings!$B$4/24) &lt;= A431)*((Data!$B$2:$B$53 + Settings!$B$4/24) &gt; A431))&gt;0)</f>
        <v>0</v>
      </c>
      <c r="D431">
        <f>--(SUMPRODUCT((Data!$C$2:$C$53="K12")*((Data!$A$2:$A$53 - Settings!$B$4/24) &lt;= A431)*((Data!$B$2:$B$53 + Settings!$B$4/24) &gt; A431))&gt;0)</f>
        <v>1</v>
      </c>
      <c r="E431">
        <f>--(SUMPRODUCT((Data!$C$2:$C$53="K12B")*((Data!$A$2:$A$53 - Settings!$B$4/24) &lt;= A431)*((Data!$B$2:$B$53 + Settings!$B$4/24) &gt; A431))&gt;0)</f>
        <v>1</v>
      </c>
      <c r="F431">
        <f>--(SUMPRODUCT((Data!$C$2:$C$53="TT2")*((Data!$A$2:$A$53 - Settings!$B$4/24) &lt;= A431)*((Data!$B$2:$B$53 + Settings!$B$4/24) &gt; A431))&gt;0)</f>
        <v>1</v>
      </c>
    </row>
    <row r="432" spans="1:6" ht="15.6" x14ac:dyDescent="0.3">
      <c r="A432" s="1">
        <v>45949.917013888888</v>
      </c>
      <c r="B432">
        <f>--(SUMPRODUCT((Data!$C$2:$C$53="K12C")*((Data!$A$2:$A$53 - Settings!$B$4/24) &lt;= A432)*((Data!$B$2:$B$53 + Settings!$B$4/24) &gt; A432))&gt;0)</f>
        <v>0</v>
      </c>
      <c r="C432">
        <f>--(SUMPRODUCT((Data!$C$2:$C$53="K12A")*((Data!$A$2:$A$53 - Settings!$B$4/24) &lt;= A432)*((Data!$B$2:$B$53 + Settings!$B$4/24) &gt; A432))&gt;0)</f>
        <v>0</v>
      </c>
      <c r="D432">
        <f>--(SUMPRODUCT((Data!$C$2:$C$53="K12")*((Data!$A$2:$A$53 - Settings!$B$4/24) &lt;= A432)*((Data!$B$2:$B$53 + Settings!$B$4/24) &gt; A432))&gt;0)</f>
        <v>1</v>
      </c>
      <c r="E432">
        <f>--(SUMPRODUCT((Data!$C$2:$C$53="K12B")*((Data!$A$2:$A$53 - Settings!$B$4/24) &lt;= A432)*((Data!$B$2:$B$53 + Settings!$B$4/24) &gt; A432))&gt;0)</f>
        <v>1</v>
      </c>
      <c r="F432">
        <f>--(SUMPRODUCT((Data!$C$2:$C$53="TT2")*((Data!$A$2:$A$53 - Settings!$B$4/24) &lt;= A432)*((Data!$B$2:$B$53 + Settings!$B$4/24) &gt; A432))&gt;0)</f>
        <v>1</v>
      </c>
    </row>
    <row r="433" spans="1:6" ht="15.6" x14ac:dyDescent="0.3">
      <c r="A433" s="1">
        <v>45949.958680555559</v>
      </c>
      <c r="B433">
        <f>--(SUMPRODUCT((Data!$C$2:$C$53="K12C")*((Data!$A$2:$A$53 - Settings!$B$4/24) &lt;= A433)*((Data!$B$2:$B$53 + Settings!$B$4/24) &gt; A433))&gt;0)</f>
        <v>0</v>
      </c>
      <c r="C433">
        <f>--(SUMPRODUCT((Data!$C$2:$C$53="K12A")*((Data!$A$2:$A$53 - Settings!$B$4/24) &lt;= A433)*((Data!$B$2:$B$53 + Settings!$B$4/24) &gt; A433))&gt;0)</f>
        <v>1</v>
      </c>
      <c r="D433">
        <f>--(SUMPRODUCT((Data!$C$2:$C$53="K12")*((Data!$A$2:$A$53 - Settings!$B$4/24) &lt;= A433)*((Data!$B$2:$B$53 + Settings!$B$4/24) &gt; A433))&gt;0)</f>
        <v>1</v>
      </c>
      <c r="E433">
        <f>--(SUMPRODUCT((Data!$C$2:$C$53="K12B")*((Data!$A$2:$A$53 - Settings!$B$4/24) &lt;= A433)*((Data!$B$2:$B$53 + Settings!$B$4/24) &gt; A433))&gt;0)</f>
        <v>1</v>
      </c>
      <c r="F433">
        <f>--(SUMPRODUCT((Data!$C$2:$C$53="TT2")*((Data!$A$2:$A$53 - Settings!$B$4/24) &lt;= A433)*((Data!$B$2:$B$53 + Settings!$B$4/24) &gt; A433))&gt;0)</f>
        <v>1</v>
      </c>
    </row>
    <row r="434" spans="1:6" ht="15.6" x14ac:dyDescent="0.3">
      <c r="A434" s="1">
        <v>45950.000347222223</v>
      </c>
      <c r="B434">
        <f>--(SUMPRODUCT((Data!$C$2:$C$53="K12C")*((Data!$A$2:$A$53 - Settings!$B$4/24) &lt;= A434)*((Data!$B$2:$B$53 + Settings!$B$4/24) &gt; A434))&gt;0)</f>
        <v>0</v>
      </c>
      <c r="C434">
        <f>--(SUMPRODUCT((Data!$C$2:$C$53="K12A")*((Data!$A$2:$A$53 - Settings!$B$4/24) &lt;= A434)*((Data!$B$2:$B$53 + Settings!$B$4/24) &gt; A434))&gt;0)</f>
        <v>1</v>
      </c>
      <c r="D434">
        <f>--(SUMPRODUCT((Data!$C$2:$C$53="K12")*((Data!$A$2:$A$53 - Settings!$B$4/24) &lt;= A434)*((Data!$B$2:$B$53 + Settings!$B$4/24) &gt; A434))&gt;0)</f>
        <v>1</v>
      </c>
      <c r="E434">
        <f>--(SUMPRODUCT((Data!$C$2:$C$53="K12B")*((Data!$A$2:$A$53 - Settings!$B$4/24) &lt;= A434)*((Data!$B$2:$B$53 + Settings!$B$4/24) &gt; A434))&gt;0)</f>
        <v>1</v>
      </c>
      <c r="F434">
        <f>--(SUMPRODUCT((Data!$C$2:$C$53="TT2")*((Data!$A$2:$A$53 - Settings!$B$4/24) &lt;= A434)*((Data!$B$2:$B$53 + Settings!$B$4/24) &gt; A434))&gt;0)</f>
        <v>1</v>
      </c>
    </row>
    <row r="435" spans="1:6" ht="15.6" x14ac:dyDescent="0.3">
      <c r="A435" s="1">
        <v>45950.042013888888</v>
      </c>
      <c r="B435">
        <f>--(SUMPRODUCT((Data!$C$2:$C$53="K12C")*((Data!$A$2:$A$53 - Settings!$B$4/24) &lt;= A435)*((Data!$B$2:$B$53 + Settings!$B$4/24) &gt; A435))&gt;0)</f>
        <v>0</v>
      </c>
      <c r="C435">
        <f>--(SUMPRODUCT((Data!$C$2:$C$53="K12A")*((Data!$A$2:$A$53 - Settings!$B$4/24) &lt;= A435)*((Data!$B$2:$B$53 + Settings!$B$4/24) &gt; A435))&gt;0)</f>
        <v>1</v>
      </c>
      <c r="D435">
        <f>--(SUMPRODUCT((Data!$C$2:$C$53="K12")*((Data!$A$2:$A$53 - Settings!$B$4/24) &lt;= A435)*((Data!$B$2:$B$53 + Settings!$B$4/24) &gt; A435))&gt;0)</f>
        <v>1</v>
      </c>
      <c r="E435">
        <f>--(SUMPRODUCT((Data!$C$2:$C$53="K12B")*((Data!$A$2:$A$53 - Settings!$B$4/24) &lt;= A435)*((Data!$B$2:$B$53 + Settings!$B$4/24) &gt; A435))&gt;0)</f>
        <v>1</v>
      </c>
      <c r="F435">
        <f>--(SUMPRODUCT((Data!$C$2:$C$53="TT2")*((Data!$A$2:$A$53 - Settings!$B$4/24) &lt;= A435)*((Data!$B$2:$B$53 + Settings!$B$4/24) &gt; A435))&gt;0)</f>
        <v>1</v>
      </c>
    </row>
    <row r="436" spans="1:6" ht="15.6" x14ac:dyDescent="0.3">
      <c r="A436" s="1">
        <v>45950.083680555559</v>
      </c>
      <c r="B436">
        <f>--(SUMPRODUCT((Data!$C$2:$C$53="K12C")*((Data!$A$2:$A$53 - Settings!$B$4/24) &lt;= A436)*((Data!$B$2:$B$53 + Settings!$B$4/24) &gt; A436))&gt;0)</f>
        <v>0</v>
      </c>
      <c r="C436">
        <f>--(SUMPRODUCT((Data!$C$2:$C$53="K12A")*((Data!$A$2:$A$53 - Settings!$B$4/24) &lt;= A436)*((Data!$B$2:$B$53 + Settings!$B$4/24) &gt; A436))&gt;0)</f>
        <v>1</v>
      </c>
      <c r="D436">
        <f>--(SUMPRODUCT((Data!$C$2:$C$53="K12")*((Data!$A$2:$A$53 - Settings!$B$4/24) &lt;= A436)*((Data!$B$2:$B$53 + Settings!$B$4/24) &gt; A436))&gt;0)</f>
        <v>1</v>
      </c>
      <c r="E436">
        <f>--(SUMPRODUCT((Data!$C$2:$C$53="K12B")*((Data!$A$2:$A$53 - Settings!$B$4/24) &lt;= A436)*((Data!$B$2:$B$53 + Settings!$B$4/24) &gt; A436))&gt;0)</f>
        <v>1</v>
      </c>
      <c r="F436">
        <f>--(SUMPRODUCT((Data!$C$2:$C$53="TT2")*((Data!$A$2:$A$53 - Settings!$B$4/24) &lt;= A436)*((Data!$B$2:$B$53 + Settings!$B$4/24) &gt; A436))&gt;0)</f>
        <v>1</v>
      </c>
    </row>
    <row r="437" spans="1:6" ht="15.6" x14ac:dyDescent="0.3">
      <c r="A437" s="1">
        <v>45950.125347222223</v>
      </c>
      <c r="B437">
        <f>--(SUMPRODUCT((Data!$C$2:$C$53="K12C")*((Data!$A$2:$A$53 - Settings!$B$4/24) &lt;= A437)*((Data!$B$2:$B$53 + Settings!$B$4/24) &gt; A437))&gt;0)</f>
        <v>0</v>
      </c>
      <c r="C437">
        <f>--(SUMPRODUCT((Data!$C$2:$C$53="K12A")*((Data!$A$2:$A$53 - Settings!$B$4/24) &lt;= A437)*((Data!$B$2:$B$53 + Settings!$B$4/24) &gt; A437))&gt;0)</f>
        <v>1</v>
      </c>
      <c r="D437">
        <f>--(SUMPRODUCT((Data!$C$2:$C$53="K12")*((Data!$A$2:$A$53 - Settings!$B$4/24) &lt;= A437)*((Data!$B$2:$B$53 + Settings!$B$4/24) &gt; A437))&gt;0)</f>
        <v>1</v>
      </c>
      <c r="E437">
        <f>--(SUMPRODUCT((Data!$C$2:$C$53="K12B")*((Data!$A$2:$A$53 - Settings!$B$4/24) &lt;= A437)*((Data!$B$2:$B$53 + Settings!$B$4/24) &gt; A437))&gt;0)</f>
        <v>1</v>
      </c>
      <c r="F437">
        <f>--(SUMPRODUCT((Data!$C$2:$C$53="TT2")*((Data!$A$2:$A$53 - Settings!$B$4/24) &lt;= A437)*((Data!$B$2:$B$53 + Settings!$B$4/24) &gt; A437))&gt;0)</f>
        <v>1</v>
      </c>
    </row>
    <row r="438" spans="1:6" ht="15.6" x14ac:dyDescent="0.3">
      <c r="A438" s="1">
        <v>45950.167013888888</v>
      </c>
      <c r="B438">
        <f>--(SUMPRODUCT((Data!$C$2:$C$53="K12C")*((Data!$A$2:$A$53 - Settings!$B$4/24) &lt;= A438)*((Data!$B$2:$B$53 + Settings!$B$4/24) &gt; A438))&gt;0)</f>
        <v>0</v>
      </c>
      <c r="C438">
        <f>--(SUMPRODUCT((Data!$C$2:$C$53="K12A")*((Data!$A$2:$A$53 - Settings!$B$4/24) &lt;= A438)*((Data!$B$2:$B$53 + Settings!$B$4/24) &gt; A438))&gt;0)</f>
        <v>1</v>
      </c>
      <c r="D438">
        <f>--(SUMPRODUCT((Data!$C$2:$C$53="K12")*((Data!$A$2:$A$53 - Settings!$B$4/24) &lt;= A438)*((Data!$B$2:$B$53 + Settings!$B$4/24) &gt; A438))&gt;0)</f>
        <v>1</v>
      </c>
      <c r="E438">
        <f>--(SUMPRODUCT((Data!$C$2:$C$53="K12B")*((Data!$A$2:$A$53 - Settings!$B$4/24) &lt;= A438)*((Data!$B$2:$B$53 + Settings!$B$4/24) &gt; A438))&gt;0)</f>
        <v>1</v>
      </c>
      <c r="F438">
        <f>--(SUMPRODUCT((Data!$C$2:$C$53="TT2")*((Data!$A$2:$A$53 - Settings!$B$4/24) &lt;= A438)*((Data!$B$2:$B$53 + Settings!$B$4/24) &gt; A438))&gt;0)</f>
        <v>1</v>
      </c>
    </row>
    <row r="439" spans="1:6" ht="15.6" x14ac:dyDescent="0.3">
      <c r="A439" s="1">
        <v>45950.208680555559</v>
      </c>
      <c r="B439">
        <f>--(SUMPRODUCT((Data!$C$2:$C$53="K12C")*((Data!$A$2:$A$53 - Settings!$B$4/24) &lt;= A439)*((Data!$B$2:$B$53 + Settings!$B$4/24) &gt; A439))&gt;0)</f>
        <v>0</v>
      </c>
      <c r="C439">
        <f>--(SUMPRODUCT((Data!$C$2:$C$53="K12A")*((Data!$A$2:$A$53 - Settings!$B$4/24) &lt;= A439)*((Data!$B$2:$B$53 + Settings!$B$4/24) &gt; A439))&gt;0)</f>
        <v>1</v>
      </c>
      <c r="D439">
        <f>--(SUMPRODUCT((Data!$C$2:$C$53="K12")*((Data!$A$2:$A$53 - Settings!$B$4/24) &lt;= A439)*((Data!$B$2:$B$53 + Settings!$B$4/24) &gt; A439))&gt;0)</f>
        <v>1</v>
      </c>
      <c r="E439">
        <f>--(SUMPRODUCT((Data!$C$2:$C$53="K12B")*((Data!$A$2:$A$53 - Settings!$B$4/24) &lt;= A439)*((Data!$B$2:$B$53 + Settings!$B$4/24) &gt; A439))&gt;0)</f>
        <v>1</v>
      </c>
      <c r="F439">
        <f>--(SUMPRODUCT((Data!$C$2:$C$53="TT2")*((Data!$A$2:$A$53 - Settings!$B$4/24) &lt;= A439)*((Data!$B$2:$B$53 + Settings!$B$4/24) &gt; A439))&gt;0)</f>
        <v>1</v>
      </c>
    </row>
    <row r="440" spans="1:6" ht="15.6" x14ac:dyDescent="0.3">
      <c r="A440" s="1">
        <v>45950.250347222223</v>
      </c>
      <c r="B440">
        <f>--(SUMPRODUCT((Data!$C$2:$C$53="K12C")*((Data!$A$2:$A$53 - Settings!$B$4/24) &lt;= A440)*((Data!$B$2:$B$53 + Settings!$B$4/24) &gt; A440))&gt;0)</f>
        <v>0</v>
      </c>
      <c r="C440">
        <f>--(SUMPRODUCT((Data!$C$2:$C$53="K12A")*((Data!$A$2:$A$53 - Settings!$B$4/24) &lt;= A440)*((Data!$B$2:$B$53 + Settings!$B$4/24) &gt; A440))&gt;0)</f>
        <v>1</v>
      </c>
      <c r="D440">
        <f>--(SUMPRODUCT((Data!$C$2:$C$53="K12")*((Data!$A$2:$A$53 - Settings!$B$4/24) &lt;= A440)*((Data!$B$2:$B$53 + Settings!$B$4/24) &gt; A440))&gt;0)</f>
        <v>1</v>
      </c>
      <c r="E440">
        <f>--(SUMPRODUCT((Data!$C$2:$C$53="K12B")*((Data!$A$2:$A$53 - Settings!$B$4/24) &lt;= A440)*((Data!$B$2:$B$53 + Settings!$B$4/24) &gt; A440))&gt;0)</f>
        <v>1</v>
      </c>
      <c r="F440">
        <f>--(SUMPRODUCT((Data!$C$2:$C$53="TT2")*((Data!$A$2:$A$53 - Settings!$B$4/24) &lt;= A440)*((Data!$B$2:$B$53 + Settings!$B$4/24) &gt; A440))&gt;0)</f>
        <v>1</v>
      </c>
    </row>
    <row r="441" spans="1:6" ht="15.6" x14ac:dyDescent="0.3">
      <c r="A441" s="1">
        <v>45950.292013888888</v>
      </c>
      <c r="B441">
        <f>--(SUMPRODUCT((Data!$C$2:$C$53="K12C")*((Data!$A$2:$A$53 - Settings!$B$4/24) &lt;= A441)*((Data!$B$2:$B$53 + Settings!$B$4/24) &gt; A441))&gt;0)</f>
        <v>0</v>
      </c>
      <c r="C441">
        <f>--(SUMPRODUCT((Data!$C$2:$C$53="K12A")*((Data!$A$2:$A$53 - Settings!$B$4/24) &lt;= A441)*((Data!$B$2:$B$53 + Settings!$B$4/24) &gt; A441))&gt;0)</f>
        <v>1</v>
      </c>
      <c r="D441">
        <f>--(SUMPRODUCT((Data!$C$2:$C$53="K12")*((Data!$A$2:$A$53 - Settings!$B$4/24) &lt;= A441)*((Data!$B$2:$B$53 + Settings!$B$4/24) &gt; A441))&gt;0)</f>
        <v>1</v>
      </c>
      <c r="E441">
        <f>--(SUMPRODUCT((Data!$C$2:$C$53="K12B")*((Data!$A$2:$A$53 - Settings!$B$4/24) &lt;= A441)*((Data!$B$2:$B$53 + Settings!$B$4/24) &gt; A441))&gt;0)</f>
        <v>1</v>
      </c>
      <c r="F441">
        <f>--(SUMPRODUCT((Data!$C$2:$C$53="TT2")*((Data!$A$2:$A$53 - Settings!$B$4/24) &lt;= A441)*((Data!$B$2:$B$53 + Settings!$B$4/24) &gt; A441))&gt;0)</f>
        <v>1</v>
      </c>
    </row>
    <row r="442" spans="1:6" ht="15.6" x14ac:dyDescent="0.3">
      <c r="A442" s="1">
        <v>45950.333680555559</v>
      </c>
      <c r="B442">
        <f>--(SUMPRODUCT((Data!$C$2:$C$53="K12C")*((Data!$A$2:$A$53 - Settings!$B$4/24) &lt;= A442)*((Data!$B$2:$B$53 + Settings!$B$4/24) &gt; A442))&gt;0)</f>
        <v>0</v>
      </c>
      <c r="C442">
        <f>--(SUMPRODUCT((Data!$C$2:$C$53="K12A")*((Data!$A$2:$A$53 - Settings!$B$4/24) &lt;= A442)*((Data!$B$2:$B$53 + Settings!$B$4/24) &gt; A442))&gt;0)</f>
        <v>1</v>
      </c>
      <c r="D442">
        <f>--(SUMPRODUCT((Data!$C$2:$C$53="K12")*((Data!$A$2:$A$53 - Settings!$B$4/24) &lt;= A442)*((Data!$B$2:$B$53 + Settings!$B$4/24) &gt; A442))&gt;0)</f>
        <v>1</v>
      </c>
      <c r="E442">
        <f>--(SUMPRODUCT((Data!$C$2:$C$53="K12B")*((Data!$A$2:$A$53 - Settings!$B$4/24) &lt;= A442)*((Data!$B$2:$B$53 + Settings!$B$4/24) &gt; A442))&gt;0)</f>
        <v>1</v>
      </c>
      <c r="F442">
        <f>--(SUMPRODUCT((Data!$C$2:$C$53="TT2")*((Data!$A$2:$A$53 - Settings!$B$4/24) &lt;= A442)*((Data!$B$2:$B$53 + Settings!$B$4/24) &gt; A442))&gt;0)</f>
        <v>1</v>
      </c>
    </row>
    <row r="443" spans="1:6" ht="15.6" x14ac:dyDescent="0.3">
      <c r="A443" s="1">
        <v>45950.375347222223</v>
      </c>
      <c r="B443">
        <f>--(SUMPRODUCT((Data!$C$2:$C$53="K12C")*((Data!$A$2:$A$53 - Settings!$B$4/24) &lt;= A443)*((Data!$B$2:$B$53 + Settings!$B$4/24) &gt; A443))&gt;0)</f>
        <v>0</v>
      </c>
      <c r="C443">
        <f>--(SUMPRODUCT((Data!$C$2:$C$53="K12A")*((Data!$A$2:$A$53 - Settings!$B$4/24) &lt;= A443)*((Data!$B$2:$B$53 + Settings!$B$4/24) &gt; A443))&gt;0)</f>
        <v>1</v>
      </c>
      <c r="D443">
        <f>--(SUMPRODUCT((Data!$C$2:$C$53="K12")*((Data!$A$2:$A$53 - Settings!$B$4/24) &lt;= A443)*((Data!$B$2:$B$53 + Settings!$B$4/24) &gt; A443))&gt;0)</f>
        <v>1</v>
      </c>
      <c r="E443">
        <f>--(SUMPRODUCT((Data!$C$2:$C$53="K12B")*((Data!$A$2:$A$53 - Settings!$B$4/24) &lt;= A443)*((Data!$B$2:$B$53 + Settings!$B$4/24) &gt; A443))&gt;0)</f>
        <v>1</v>
      </c>
      <c r="F443">
        <f>--(SUMPRODUCT((Data!$C$2:$C$53="TT2")*((Data!$A$2:$A$53 - Settings!$B$4/24) &lt;= A443)*((Data!$B$2:$B$53 + Settings!$B$4/24) &gt; A443))&gt;0)</f>
        <v>1</v>
      </c>
    </row>
    <row r="444" spans="1:6" ht="15.6" x14ac:dyDescent="0.3">
      <c r="A444" s="1">
        <v>45950.417013888888</v>
      </c>
      <c r="B444">
        <f>--(SUMPRODUCT((Data!$C$2:$C$53="K12C")*((Data!$A$2:$A$53 - Settings!$B$4/24) &lt;= A444)*((Data!$B$2:$B$53 + Settings!$B$4/24) &gt; A444))&gt;0)</f>
        <v>0</v>
      </c>
      <c r="C444">
        <f>--(SUMPRODUCT((Data!$C$2:$C$53="K12A")*((Data!$A$2:$A$53 - Settings!$B$4/24) &lt;= A444)*((Data!$B$2:$B$53 + Settings!$B$4/24) &gt; A444))&gt;0)</f>
        <v>1</v>
      </c>
      <c r="D444">
        <f>--(SUMPRODUCT((Data!$C$2:$C$53="K12")*((Data!$A$2:$A$53 - Settings!$B$4/24) &lt;= A444)*((Data!$B$2:$B$53 + Settings!$B$4/24) &gt; A444))&gt;0)</f>
        <v>1</v>
      </c>
      <c r="E444">
        <f>--(SUMPRODUCT((Data!$C$2:$C$53="K12B")*((Data!$A$2:$A$53 - Settings!$B$4/24) &lt;= A444)*((Data!$B$2:$B$53 + Settings!$B$4/24) &gt; A444))&gt;0)</f>
        <v>1</v>
      </c>
      <c r="F444">
        <f>--(SUMPRODUCT((Data!$C$2:$C$53="TT2")*((Data!$A$2:$A$53 - Settings!$B$4/24) &lt;= A444)*((Data!$B$2:$B$53 + Settings!$B$4/24) &gt; A444))&gt;0)</f>
        <v>1</v>
      </c>
    </row>
    <row r="445" spans="1:6" ht="15.6" x14ac:dyDescent="0.3">
      <c r="A445" s="1">
        <v>45950.458680555559</v>
      </c>
      <c r="B445">
        <f>--(SUMPRODUCT((Data!$C$2:$C$53="K12C")*((Data!$A$2:$A$53 - Settings!$B$4/24) &lt;= A445)*((Data!$B$2:$B$53 + Settings!$B$4/24) &gt; A445))&gt;0)</f>
        <v>0</v>
      </c>
      <c r="C445">
        <f>--(SUMPRODUCT((Data!$C$2:$C$53="K12A")*((Data!$A$2:$A$53 - Settings!$B$4/24) &lt;= A445)*((Data!$B$2:$B$53 + Settings!$B$4/24) &gt; A445))&gt;0)</f>
        <v>1</v>
      </c>
      <c r="D445">
        <f>--(SUMPRODUCT((Data!$C$2:$C$53="K12")*((Data!$A$2:$A$53 - Settings!$B$4/24) &lt;= A445)*((Data!$B$2:$B$53 + Settings!$B$4/24) &gt; A445))&gt;0)</f>
        <v>1</v>
      </c>
      <c r="E445">
        <f>--(SUMPRODUCT((Data!$C$2:$C$53="K12B")*((Data!$A$2:$A$53 - Settings!$B$4/24) &lt;= A445)*((Data!$B$2:$B$53 + Settings!$B$4/24) &gt; A445))&gt;0)</f>
        <v>1</v>
      </c>
      <c r="F445">
        <f>--(SUMPRODUCT((Data!$C$2:$C$53="TT2")*((Data!$A$2:$A$53 - Settings!$B$4/24) &lt;= A445)*((Data!$B$2:$B$53 + Settings!$B$4/24) &gt; A445))&gt;0)</f>
        <v>1</v>
      </c>
    </row>
    <row r="446" spans="1:6" ht="15.6" x14ac:dyDescent="0.3">
      <c r="A446" s="1">
        <v>45950.500347222223</v>
      </c>
      <c r="B446">
        <f>--(SUMPRODUCT((Data!$C$2:$C$53="K12C")*((Data!$A$2:$A$53 - Settings!$B$4/24) &lt;= A446)*((Data!$B$2:$B$53 + Settings!$B$4/24) &gt; A446))&gt;0)</f>
        <v>0</v>
      </c>
      <c r="C446">
        <f>--(SUMPRODUCT((Data!$C$2:$C$53="K12A")*((Data!$A$2:$A$53 - Settings!$B$4/24) &lt;= A446)*((Data!$B$2:$B$53 + Settings!$B$4/24) &gt; A446))&gt;0)</f>
        <v>1</v>
      </c>
      <c r="D446">
        <f>--(SUMPRODUCT((Data!$C$2:$C$53="K12")*((Data!$A$2:$A$53 - Settings!$B$4/24) &lt;= A446)*((Data!$B$2:$B$53 + Settings!$B$4/24) &gt; A446))&gt;0)</f>
        <v>1</v>
      </c>
      <c r="E446">
        <f>--(SUMPRODUCT((Data!$C$2:$C$53="K12B")*((Data!$A$2:$A$53 - Settings!$B$4/24) &lt;= A446)*((Data!$B$2:$B$53 + Settings!$B$4/24) &gt; A446))&gt;0)</f>
        <v>1</v>
      </c>
      <c r="F446">
        <f>--(SUMPRODUCT((Data!$C$2:$C$53="TT2")*((Data!$A$2:$A$53 - Settings!$B$4/24) &lt;= A446)*((Data!$B$2:$B$53 + Settings!$B$4/24) &gt; A446))&gt;0)</f>
        <v>1</v>
      </c>
    </row>
    <row r="447" spans="1:6" ht="15.6" x14ac:dyDescent="0.3">
      <c r="A447" s="1">
        <v>45950.542013888888</v>
      </c>
      <c r="B447">
        <f>--(SUMPRODUCT((Data!$C$2:$C$53="K12C")*((Data!$A$2:$A$53 - Settings!$B$4/24) &lt;= A447)*((Data!$B$2:$B$53 + Settings!$B$4/24) &gt; A447))&gt;0)</f>
        <v>0</v>
      </c>
      <c r="C447">
        <f>--(SUMPRODUCT((Data!$C$2:$C$53="K12A")*((Data!$A$2:$A$53 - Settings!$B$4/24) &lt;= A447)*((Data!$B$2:$B$53 + Settings!$B$4/24) &gt; A447))&gt;0)</f>
        <v>1</v>
      </c>
      <c r="D447">
        <f>--(SUMPRODUCT((Data!$C$2:$C$53="K12")*((Data!$A$2:$A$53 - Settings!$B$4/24) &lt;= A447)*((Data!$B$2:$B$53 + Settings!$B$4/24) &gt; A447))&gt;0)</f>
        <v>1</v>
      </c>
      <c r="E447">
        <f>--(SUMPRODUCT((Data!$C$2:$C$53="K12B")*((Data!$A$2:$A$53 - Settings!$B$4/24) &lt;= A447)*((Data!$B$2:$B$53 + Settings!$B$4/24) &gt; A447))&gt;0)</f>
        <v>1</v>
      </c>
      <c r="F447">
        <f>--(SUMPRODUCT((Data!$C$2:$C$53="TT2")*((Data!$A$2:$A$53 - Settings!$B$4/24) &lt;= A447)*((Data!$B$2:$B$53 + Settings!$B$4/24) &gt; A447))&gt;0)</f>
        <v>1</v>
      </c>
    </row>
    <row r="448" spans="1:6" ht="15.6" x14ac:dyDescent="0.3">
      <c r="A448" s="1">
        <v>45950.583680555559</v>
      </c>
      <c r="B448">
        <f>--(SUMPRODUCT((Data!$C$2:$C$53="K12C")*((Data!$A$2:$A$53 - Settings!$B$4/24) &lt;= A448)*((Data!$B$2:$B$53 + Settings!$B$4/24) &gt; A448))&gt;0)</f>
        <v>0</v>
      </c>
      <c r="C448">
        <f>--(SUMPRODUCT((Data!$C$2:$C$53="K12A")*((Data!$A$2:$A$53 - Settings!$B$4/24) &lt;= A448)*((Data!$B$2:$B$53 + Settings!$B$4/24) &gt; A448))&gt;0)</f>
        <v>1</v>
      </c>
      <c r="D448">
        <f>--(SUMPRODUCT((Data!$C$2:$C$53="K12")*((Data!$A$2:$A$53 - Settings!$B$4/24) &lt;= A448)*((Data!$B$2:$B$53 + Settings!$B$4/24) &gt; A448))&gt;0)</f>
        <v>1</v>
      </c>
      <c r="E448">
        <f>--(SUMPRODUCT((Data!$C$2:$C$53="K12B")*((Data!$A$2:$A$53 - Settings!$B$4/24) &lt;= A448)*((Data!$B$2:$B$53 + Settings!$B$4/24) &gt; A448))&gt;0)</f>
        <v>1</v>
      </c>
      <c r="F448">
        <f>--(SUMPRODUCT((Data!$C$2:$C$53="TT2")*((Data!$A$2:$A$53 - Settings!$B$4/24) &lt;= A448)*((Data!$B$2:$B$53 + Settings!$B$4/24) &gt; A448))&gt;0)</f>
        <v>1</v>
      </c>
    </row>
    <row r="449" spans="1:6" ht="15.6" x14ac:dyDescent="0.3">
      <c r="A449" s="1">
        <v>45950.625347222223</v>
      </c>
      <c r="B449">
        <f>--(SUMPRODUCT((Data!$C$2:$C$53="K12C")*((Data!$A$2:$A$53 - Settings!$B$4/24) &lt;= A449)*((Data!$B$2:$B$53 + Settings!$B$4/24) &gt; A449))&gt;0)</f>
        <v>0</v>
      </c>
      <c r="C449">
        <f>--(SUMPRODUCT((Data!$C$2:$C$53="K12A")*((Data!$A$2:$A$53 - Settings!$B$4/24) &lt;= A449)*((Data!$B$2:$B$53 + Settings!$B$4/24) &gt; A449))&gt;0)</f>
        <v>1</v>
      </c>
      <c r="D449">
        <f>--(SUMPRODUCT((Data!$C$2:$C$53="K12")*((Data!$A$2:$A$53 - Settings!$B$4/24) &lt;= A449)*((Data!$B$2:$B$53 + Settings!$B$4/24) &gt; A449))&gt;0)</f>
        <v>1</v>
      </c>
      <c r="E449">
        <f>--(SUMPRODUCT((Data!$C$2:$C$53="K12B")*((Data!$A$2:$A$53 - Settings!$B$4/24) &lt;= A449)*((Data!$B$2:$B$53 + Settings!$B$4/24) &gt; A449))&gt;0)</f>
        <v>1</v>
      </c>
      <c r="F449">
        <f>--(SUMPRODUCT((Data!$C$2:$C$53="TT2")*((Data!$A$2:$A$53 - Settings!$B$4/24) &lt;= A449)*((Data!$B$2:$B$53 + Settings!$B$4/24) &gt; A449))&gt;0)</f>
        <v>1</v>
      </c>
    </row>
    <row r="450" spans="1:6" ht="15.6" x14ac:dyDescent="0.3">
      <c r="A450" s="1">
        <v>45950.667013888888</v>
      </c>
      <c r="B450">
        <f>--(SUMPRODUCT((Data!$C$2:$C$53="K12C")*((Data!$A$2:$A$53 - Settings!$B$4/24) &lt;= A450)*((Data!$B$2:$B$53 + Settings!$B$4/24) &gt; A450))&gt;0)</f>
        <v>0</v>
      </c>
      <c r="C450">
        <f>--(SUMPRODUCT((Data!$C$2:$C$53="K12A")*((Data!$A$2:$A$53 - Settings!$B$4/24) &lt;= A450)*((Data!$B$2:$B$53 + Settings!$B$4/24) &gt; A450))&gt;0)</f>
        <v>1</v>
      </c>
      <c r="D450">
        <f>--(SUMPRODUCT((Data!$C$2:$C$53="K12")*((Data!$A$2:$A$53 - Settings!$B$4/24) &lt;= A450)*((Data!$B$2:$B$53 + Settings!$B$4/24) &gt; A450))&gt;0)</f>
        <v>1</v>
      </c>
      <c r="E450">
        <f>--(SUMPRODUCT((Data!$C$2:$C$53="K12B")*((Data!$A$2:$A$53 - Settings!$B$4/24) &lt;= A450)*((Data!$B$2:$B$53 + Settings!$B$4/24) &gt; A450))&gt;0)</f>
        <v>1</v>
      </c>
      <c r="F450">
        <f>--(SUMPRODUCT((Data!$C$2:$C$53="TT2")*((Data!$A$2:$A$53 - Settings!$B$4/24) &lt;= A450)*((Data!$B$2:$B$53 + Settings!$B$4/24) &gt; A450))&gt;0)</f>
        <v>1</v>
      </c>
    </row>
    <row r="451" spans="1:6" ht="15.6" x14ac:dyDescent="0.3">
      <c r="A451" s="1">
        <v>45950.708680555559</v>
      </c>
      <c r="B451">
        <f>--(SUMPRODUCT((Data!$C$2:$C$53="K12C")*((Data!$A$2:$A$53 - Settings!$B$4/24) &lt;= A451)*((Data!$B$2:$B$53 + Settings!$B$4/24) &gt; A451))&gt;0)</f>
        <v>0</v>
      </c>
      <c r="C451">
        <f>--(SUMPRODUCT((Data!$C$2:$C$53="K12A")*((Data!$A$2:$A$53 - Settings!$B$4/24) &lt;= A451)*((Data!$B$2:$B$53 + Settings!$B$4/24) &gt; A451))&gt;0)</f>
        <v>1</v>
      </c>
      <c r="D451">
        <f>--(SUMPRODUCT((Data!$C$2:$C$53="K12")*((Data!$A$2:$A$53 - Settings!$B$4/24) &lt;= A451)*((Data!$B$2:$B$53 + Settings!$B$4/24) &gt; A451))&gt;0)</f>
        <v>1</v>
      </c>
      <c r="E451">
        <f>--(SUMPRODUCT((Data!$C$2:$C$53="K12B")*((Data!$A$2:$A$53 - Settings!$B$4/24) &lt;= A451)*((Data!$B$2:$B$53 + Settings!$B$4/24) &gt; A451))&gt;0)</f>
        <v>1</v>
      </c>
      <c r="F451">
        <f>--(SUMPRODUCT((Data!$C$2:$C$53="TT2")*((Data!$A$2:$A$53 - Settings!$B$4/24) &lt;= A451)*((Data!$B$2:$B$53 + Settings!$B$4/24) &gt; A451))&gt;0)</f>
        <v>1</v>
      </c>
    </row>
    <row r="452" spans="1:6" ht="15.6" x14ac:dyDescent="0.3">
      <c r="A452" s="1">
        <v>45950.750347222223</v>
      </c>
      <c r="B452">
        <f>--(SUMPRODUCT((Data!$C$2:$C$53="K12C")*((Data!$A$2:$A$53 - Settings!$B$4/24) &lt;= A452)*((Data!$B$2:$B$53 + Settings!$B$4/24) &gt; A452))&gt;0)</f>
        <v>0</v>
      </c>
      <c r="C452">
        <f>--(SUMPRODUCT((Data!$C$2:$C$53="K12A")*((Data!$A$2:$A$53 - Settings!$B$4/24) &lt;= A452)*((Data!$B$2:$B$53 + Settings!$B$4/24) &gt; A452))&gt;0)</f>
        <v>1</v>
      </c>
      <c r="D452">
        <f>--(SUMPRODUCT((Data!$C$2:$C$53="K12")*((Data!$A$2:$A$53 - Settings!$B$4/24) &lt;= A452)*((Data!$B$2:$B$53 + Settings!$B$4/24) &gt; A452))&gt;0)</f>
        <v>1</v>
      </c>
      <c r="E452">
        <f>--(SUMPRODUCT((Data!$C$2:$C$53="K12B")*((Data!$A$2:$A$53 - Settings!$B$4/24) &lt;= A452)*((Data!$B$2:$B$53 + Settings!$B$4/24) &gt; A452))&gt;0)</f>
        <v>1</v>
      </c>
      <c r="F452">
        <f>--(SUMPRODUCT((Data!$C$2:$C$53="TT2")*((Data!$A$2:$A$53 - Settings!$B$4/24) &lt;= A452)*((Data!$B$2:$B$53 + Settings!$B$4/24) &gt; A452))&gt;0)</f>
        <v>1</v>
      </c>
    </row>
    <row r="453" spans="1:6" ht="15.6" x14ac:dyDescent="0.3">
      <c r="A453" s="1">
        <v>45950.792013888888</v>
      </c>
      <c r="B453">
        <f>--(SUMPRODUCT((Data!$C$2:$C$53="K12C")*((Data!$A$2:$A$53 - Settings!$B$4/24) &lt;= A453)*((Data!$B$2:$B$53 + Settings!$B$4/24) &gt; A453))&gt;0)</f>
        <v>0</v>
      </c>
      <c r="C453">
        <f>--(SUMPRODUCT((Data!$C$2:$C$53="K12A")*((Data!$A$2:$A$53 - Settings!$B$4/24) &lt;= A453)*((Data!$B$2:$B$53 + Settings!$B$4/24) &gt; A453))&gt;0)</f>
        <v>1</v>
      </c>
      <c r="D453">
        <f>--(SUMPRODUCT((Data!$C$2:$C$53="K12")*((Data!$A$2:$A$53 - Settings!$B$4/24) &lt;= A453)*((Data!$B$2:$B$53 + Settings!$B$4/24) &gt; A453))&gt;0)</f>
        <v>1</v>
      </c>
      <c r="E453">
        <f>--(SUMPRODUCT((Data!$C$2:$C$53="K12B")*((Data!$A$2:$A$53 - Settings!$B$4/24) &lt;= A453)*((Data!$B$2:$B$53 + Settings!$B$4/24) &gt; A453))&gt;0)</f>
        <v>1</v>
      </c>
      <c r="F453">
        <f>--(SUMPRODUCT((Data!$C$2:$C$53="TT2")*((Data!$A$2:$A$53 - Settings!$B$4/24) &lt;= A453)*((Data!$B$2:$B$53 + Settings!$B$4/24) &gt; A453))&gt;0)</f>
        <v>1</v>
      </c>
    </row>
    <row r="454" spans="1:6" ht="15.6" x14ac:dyDescent="0.3">
      <c r="A454" s="1">
        <v>45950.833680555559</v>
      </c>
      <c r="B454">
        <f>--(SUMPRODUCT((Data!$C$2:$C$53="K12C")*((Data!$A$2:$A$53 - Settings!$B$4/24) &lt;= A454)*((Data!$B$2:$B$53 + Settings!$B$4/24) &gt; A454))&gt;0)</f>
        <v>0</v>
      </c>
      <c r="C454">
        <f>--(SUMPRODUCT((Data!$C$2:$C$53="K12A")*((Data!$A$2:$A$53 - Settings!$B$4/24) &lt;= A454)*((Data!$B$2:$B$53 + Settings!$B$4/24) &gt; A454))&gt;0)</f>
        <v>1</v>
      </c>
      <c r="D454">
        <f>--(SUMPRODUCT((Data!$C$2:$C$53="K12")*((Data!$A$2:$A$53 - Settings!$B$4/24) &lt;= A454)*((Data!$B$2:$B$53 + Settings!$B$4/24) &gt; A454))&gt;0)</f>
        <v>1</v>
      </c>
      <c r="E454">
        <f>--(SUMPRODUCT((Data!$C$2:$C$53="K12B")*((Data!$A$2:$A$53 - Settings!$B$4/24) &lt;= A454)*((Data!$B$2:$B$53 + Settings!$B$4/24) &gt; A454))&gt;0)</f>
        <v>1</v>
      </c>
      <c r="F454">
        <f>--(SUMPRODUCT((Data!$C$2:$C$53="TT2")*((Data!$A$2:$A$53 - Settings!$B$4/24) &lt;= A454)*((Data!$B$2:$B$53 + Settings!$B$4/24) &gt; A454))&gt;0)</f>
        <v>1</v>
      </c>
    </row>
    <row r="455" spans="1:6" ht="15.6" x14ac:dyDescent="0.3">
      <c r="A455" s="1">
        <v>45950.875347222223</v>
      </c>
      <c r="B455">
        <f>--(SUMPRODUCT((Data!$C$2:$C$53="K12C")*((Data!$A$2:$A$53 - Settings!$B$4/24) &lt;= A455)*((Data!$B$2:$B$53 + Settings!$B$4/24) &gt; A455))&gt;0)</f>
        <v>0</v>
      </c>
      <c r="C455">
        <f>--(SUMPRODUCT((Data!$C$2:$C$53="K12A")*((Data!$A$2:$A$53 - Settings!$B$4/24) &lt;= A455)*((Data!$B$2:$B$53 + Settings!$B$4/24) &gt; A455))&gt;0)</f>
        <v>1</v>
      </c>
      <c r="D455">
        <f>--(SUMPRODUCT((Data!$C$2:$C$53="K12")*((Data!$A$2:$A$53 - Settings!$B$4/24) &lt;= A455)*((Data!$B$2:$B$53 + Settings!$B$4/24) &gt; A455))&gt;0)</f>
        <v>1</v>
      </c>
      <c r="E455">
        <f>--(SUMPRODUCT((Data!$C$2:$C$53="K12B")*((Data!$A$2:$A$53 - Settings!$B$4/24) &lt;= A455)*((Data!$B$2:$B$53 + Settings!$B$4/24) &gt; A455))&gt;0)</f>
        <v>1</v>
      </c>
      <c r="F455">
        <f>--(SUMPRODUCT((Data!$C$2:$C$53="TT2")*((Data!$A$2:$A$53 - Settings!$B$4/24) &lt;= A455)*((Data!$B$2:$B$53 + Settings!$B$4/24) &gt; A455))&gt;0)</f>
        <v>1</v>
      </c>
    </row>
    <row r="456" spans="1:6" ht="15.6" x14ac:dyDescent="0.3">
      <c r="A456" s="1">
        <v>45950.917013888888</v>
      </c>
      <c r="B456">
        <f>--(SUMPRODUCT((Data!$C$2:$C$53="K12C")*((Data!$A$2:$A$53 - Settings!$B$4/24) &lt;= A456)*((Data!$B$2:$B$53 + Settings!$B$4/24) &gt; A456))&gt;0)</f>
        <v>0</v>
      </c>
      <c r="C456">
        <f>--(SUMPRODUCT((Data!$C$2:$C$53="K12A")*((Data!$A$2:$A$53 - Settings!$B$4/24) &lt;= A456)*((Data!$B$2:$B$53 + Settings!$B$4/24) &gt; A456))&gt;0)</f>
        <v>1</v>
      </c>
      <c r="D456">
        <f>--(SUMPRODUCT((Data!$C$2:$C$53="K12")*((Data!$A$2:$A$53 - Settings!$B$4/24) &lt;= A456)*((Data!$B$2:$B$53 + Settings!$B$4/24) &gt; A456))&gt;0)</f>
        <v>1</v>
      </c>
      <c r="E456">
        <f>--(SUMPRODUCT((Data!$C$2:$C$53="K12B")*((Data!$A$2:$A$53 - Settings!$B$4/24) &lt;= A456)*((Data!$B$2:$B$53 + Settings!$B$4/24) &gt; A456))&gt;0)</f>
        <v>1</v>
      </c>
      <c r="F456">
        <f>--(SUMPRODUCT((Data!$C$2:$C$53="TT2")*((Data!$A$2:$A$53 - Settings!$B$4/24) &lt;= A456)*((Data!$B$2:$B$53 + Settings!$B$4/24) &gt; A456))&gt;0)</f>
        <v>1</v>
      </c>
    </row>
    <row r="457" spans="1:6" ht="15.6" x14ac:dyDescent="0.3">
      <c r="A457" s="1">
        <v>45950.958680555559</v>
      </c>
      <c r="B457">
        <f>--(SUMPRODUCT((Data!$C$2:$C$53="K12C")*((Data!$A$2:$A$53 - Settings!$B$4/24) &lt;= A457)*((Data!$B$2:$B$53 + Settings!$B$4/24) &gt; A457))&gt;0)</f>
        <v>0</v>
      </c>
      <c r="C457">
        <f>--(SUMPRODUCT((Data!$C$2:$C$53="K12A")*((Data!$A$2:$A$53 - Settings!$B$4/24) &lt;= A457)*((Data!$B$2:$B$53 + Settings!$B$4/24) &gt; A457))&gt;0)</f>
        <v>1</v>
      </c>
      <c r="D457">
        <f>--(SUMPRODUCT((Data!$C$2:$C$53="K12")*((Data!$A$2:$A$53 - Settings!$B$4/24) &lt;= A457)*((Data!$B$2:$B$53 + Settings!$B$4/24) &gt; A457))&gt;0)</f>
        <v>1</v>
      </c>
      <c r="E457">
        <f>--(SUMPRODUCT((Data!$C$2:$C$53="K12B")*((Data!$A$2:$A$53 - Settings!$B$4/24) &lt;= A457)*((Data!$B$2:$B$53 + Settings!$B$4/24) &gt; A457))&gt;0)</f>
        <v>1</v>
      </c>
      <c r="F457">
        <f>--(SUMPRODUCT((Data!$C$2:$C$53="TT2")*((Data!$A$2:$A$53 - Settings!$B$4/24) &lt;= A457)*((Data!$B$2:$B$53 + Settings!$B$4/24) &gt; A457))&gt;0)</f>
        <v>1</v>
      </c>
    </row>
    <row r="458" spans="1:6" ht="15.6" x14ac:dyDescent="0.3">
      <c r="A458" s="1">
        <v>45951.000347222223</v>
      </c>
      <c r="B458">
        <f>--(SUMPRODUCT((Data!$C$2:$C$53="K12C")*((Data!$A$2:$A$53 - Settings!$B$4/24) &lt;= A458)*((Data!$B$2:$B$53 + Settings!$B$4/24) &gt; A458))&gt;0)</f>
        <v>0</v>
      </c>
      <c r="C458">
        <f>--(SUMPRODUCT((Data!$C$2:$C$53="K12A")*((Data!$A$2:$A$53 - Settings!$B$4/24) &lt;= A458)*((Data!$B$2:$B$53 + Settings!$B$4/24) &gt; A458))&gt;0)</f>
        <v>1</v>
      </c>
      <c r="D458">
        <f>--(SUMPRODUCT((Data!$C$2:$C$53="K12")*((Data!$A$2:$A$53 - Settings!$B$4/24) &lt;= A458)*((Data!$B$2:$B$53 + Settings!$B$4/24) &gt; A458))&gt;0)</f>
        <v>1</v>
      </c>
      <c r="E458">
        <f>--(SUMPRODUCT((Data!$C$2:$C$53="K12B")*((Data!$A$2:$A$53 - Settings!$B$4/24) &lt;= A458)*((Data!$B$2:$B$53 + Settings!$B$4/24) &gt; A458))&gt;0)</f>
        <v>1</v>
      </c>
      <c r="F458">
        <f>--(SUMPRODUCT((Data!$C$2:$C$53="TT2")*((Data!$A$2:$A$53 - Settings!$B$4/24) &lt;= A458)*((Data!$B$2:$B$53 + Settings!$B$4/24) &gt; A458))&gt;0)</f>
        <v>1</v>
      </c>
    </row>
    <row r="459" spans="1:6" ht="15.6" x14ac:dyDescent="0.3">
      <c r="A459" s="1">
        <v>45951.042013888888</v>
      </c>
      <c r="B459">
        <f>--(SUMPRODUCT((Data!$C$2:$C$53="K12C")*((Data!$A$2:$A$53 - Settings!$B$4/24) &lt;= A459)*((Data!$B$2:$B$53 + Settings!$B$4/24) &gt; A459))&gt;0)</f>
        <v>0</v>
      </c>
      <c r="C459">
        <f>--(SUMPRODUCT((Data!$C$2:$C$53="K12A")*((Data!$A$2:$A$53 - Settings!$B$4/24) &lt;= A459)*((Data!$B$2:$B$53 + Settings!$B$4/24) &gt; A459))&gt;0)</f>
        <v>1</v>
      </c>
      <c r="D459">
        <f>--(SUMPRODUCT((Data!$C$2:$C$53="K12")*((Data!$A$2:$A$53 - Settings!$B$4/24) &lt;= A459)*((Data!$B$2:$B$53 + Settings!$B$4/24) &gt; A459))&gt;0)</f>
        <v>1</v>
      </c>
      <c r="E459">
        <f>--(SUMPRODUCT((Data!$C$2:$C$53="K12B")*((Data!$A$2:$A$53 - Settings!$B$4/24) &lt;= A459)*((Data!$B$2:$B$53 + Settings!$B$4/24) &gt; A459))&gt;0)</f>
        <v>1</v>
      </c>
      <c r="F459">
        <f>--(SUMPRODUCT((Data!$C$2:$C$53="TT2")*((Data!$A$2:$A$53 - Settings!$B$4/24) &lt;= A459)*((Data!$B$2:$B$53 + Settings!$B$4/24) &gt; A459))&gt;0)</f>
        <v>1</v>
      </c>
    </row>
    <row r="460" spans="1:6" ht="15.6" x14ac:dyDescent="0.3">
      <c r="A460" s="1">
        <v>45951.083680555559</v>
      </c>
      <c r="B460">
        <f>--(SUMPRODUCT((Data!$C$2:$C$53="K12C")*((Data!$A$2:$A$53 - Settings!$B$4/24) &lt;= A460)*((Data!$B$2:$B$53 + Settings!$B$4/24) &gt; A460))&gt;0)</f>
        <v>0</v>
      </c>
      <c r="C460">
        <f>--(SUMPRODUCT((Data!$C$2:$C$53="K12A")*((Data!$A$2:$A$53 - Settings!$B$4/24) &lt;= A460)*((Data!$B$2:$B$53 + Settings!$B$4/24) &gt; A460))&gt;0)</f>
        <v>1</v>
      </c>
      <c r="D460">
        <f>--(SUMPRODUCT((Data!$C$2:$C$53="K12")*((Data!$A$2:$A$53 - Settings!$B$4/24) &lt;= A460)*((Data!$B$2:$B$53 + Settings!$B$4/24) &gt; A460))&gt;0)</f>
        <v>1</v>
      </c>
      <c r="E460">
        <f>--(SUMPRODUCT((Data!$C$2:$C$53="K12B")*((Data!$A$2:$A$53 - Settings!$B$4/24) &lt;= A460)*((Data!$B$2:$B$53 + Settings!$B$4/24) &gt; A460))&gt;0)</f>
        <v>1</v>
      </c>
      <c r="F460">
        <f>--(SUMPRODUCT((Data!$C$2:$C$53="TT2")*((Data!$A$2:$A$53 - Settings!$B$4/24) &lt;= A460)*((Data!$B$2:$B$53 + Settings!$B$4/24) &gt; A460))&gt;0)</f>
        <v>1</v>
      </c>
    </row>
    <row r="461" spans="1:6" ht="15.6" x14ac:dyDescent="0.3">
      <c r="A461" s="1">
        <v>45951.125347222223</v>
      </c>
      <c r="B461">
        <f>--(SUMPRODUCT((Data!$C$2:$C$53="K12C")*((Data!$A$2:$A$53 - Settings!$B$4/24) &lt;= A461)*((Data!$B$2:$B$53 + Settings!$B$4/24) &gt; A461))&gt;0)</f>
        <v>0</v>
      </c>
      <c r="C461">
        <f>--(SUMPRODUCT((Data!$C$2:$C$53="K12A")*((Data!$A$2:$A$53 - Settings!$B$4/24) &lt;= A461)*((Data!$B$2:$B$53 + Settings!$B$4/24) &gt; A461))&gt;0)</f>
        <v>1</v>
      </c>
      <c r="D461">
        <f>--(SUMPRODUCT((Data!$C$2:$C$53="K12")*((Data!$A$2:$A$53 - Settings!$B$4/24) &lt;= A461)*((Data!$B$2:$B$53 + Settings!$B$4/24) &gt; A461))&gt;0)</f>
        <v>0</v>
      </c>
      <c r="E461">
        <f>--(SUMPRODUCT((Data!$C$2:$C$53="K12B")*((Data!$A$2:$A$53 - Settings!$B$4/24) &lt;= A461)*((Data!$B$2:$B$53 + Settings!$B$4/24) &gt; A461))&gt;0)</f>
        <v>1</v>
      </c>
      <c r="F461">
        <f>--(SUMPRODUCT((Data!$C$2:$C$53="TT2")*((Data!$A$2:$A$53 - Settings!$B$4/24) &lt;= A461)*((Data!$B$2:$B$53 + Settings!$B$4/24) &gt; A461))&gt;0)</f>
        <v>1</v>
      </c>
    </row>
    <row r="462" spans="1:6" ht="15.6" x14ac:dyDescent="0.3">
      <c r="A462" s="1">
        <v>45951.167013888888</v>
      </c>
      <c r="B462">
        <f>--(SUMPRODUCT((Data!$C$2:$C$53="K12C")*((Data!$A$2:$A$53 - Settings!$B$4/24) &lt;= A462)*((Data!$B$2:$B$53 + Settings!$B$4/24) &gt; A462))&gt;0)</f>
        <v>0</v>
      </c>
      <c r="C462">
        <f>--(SUMPRODUCT((Data!$C$2:$C$53="K12A")*((Data!$A$2:$A$53 - Settings!$B$4/24) &lt;= A462)*((Data!$B$2:$B$53 + Settings!$B$4/24) &gt; A462))&gt;0)</f>
        <v>1</v>
      </c>
      <c r="D462">
        <f>--(SUMPRODUCT((Data!$C$2:$C$53="K12")*((Data!$A$2:$A$53 - Settings!$B$4/24) &lt;= A462)*((Data!$B$2:$B$53 + Settings!$B$4/24) &gt; A462))&gt;0)</f>
        <v>0</v>
      </c>
      <c r="E462">
        <f>--(SUMPRODUCT((Data!$C$2:$C$53="K12B")*((Data!$A$2:$A$53 - Settings!$B$4/24) &lt;= A462)*((Data!$B$2:$B$53 + Settings!$B$4/24) &gt; A462))&gt;0)</f>
        <v>1</v>
      </c>
      <c r="F462">
        <f>--(SUMPRODUCT((Data!$C$2:$C$53="TT2")*((Data!$A$2:$A$53 - Settings!$B$4/24) &lt;= A462)*((Data!$B$2:$B$53 + Settings!$B$4/24) &gt; A462))&gt;0)</f>
        <v>0</v>
      </c>
    </row>
    <row r="463" spans="1:6" ht="15.6" x14ac:dyDescent="0.3">
      <c r="A463" s="1">
        <v>45951.208680555559</v>
      </c>
      <c r="B463">
        <f>--(SUMPRODUCT((Data!$C$2:$C$53="K12C")*((Data!$A$2:$A$53 - Settings!$B$4/24) &lt;= A463)*((Data!$B$2:$B$53 + Settings!$B$4/24) &gt; A463))&gt;0)</f>
        <v>0</v>
      </c>
      <c r="C463">
        <f>--(SUMPRODUCT((Data!$C$2:$C$53="K12A")*((Data!$A$2:$A$53 - Settings!$B$4/24) &lt;= A463)*((Data!$B$2:$B$53 + Settings!$B$4/24) &gt; A463))&gt;0)</f>
        <v>1</v>
      </c>
      <c r="D463">
        <f>--(SUMPRODUCT((Data!$C$2:$C$53="K12")*((Data!$A$2:$A$53 - Settings!$B$4/24) &lt;= A463)*((Data!$B$2:$B$53 + Settings!$B$4/24) &gt; A463))&gt;0)</f>
        <v>0</v>
      </c>
      <c r="E463">
        <f>--(SUMPRODUCT((Data!$C$2:$C$53="K12B")*((Data!$A$2:$A$53 - Settings!$B$4/24) &lt;= A463)*((Data!$B$2:$B$53 + Settings!$B$4/24) &gt; A463))&gt;0)</f>
        <v>1</v>
      </c>
      <c r="F463">
        <f>--(SUMPRODUCT((Data!$C$2:$C$53="TT2")*((Data!$A$2:$A$53 - Settings!$B$4/24) &lt;= A463)*((Data!$B$2:$B$53 + Settings!$B$4/24) &gt; A463))&gt;0)</f>
        <v>0</v>
      </c>
    </row>
    <row r="464" spans="1:6" ht="15.6" x14ac:dyDescent="0.3">
      <c r="A464" s="1">
        <v>45951.250347222223</v>
      </c>
      <c r="B464">
        <f>--(SUMPRODUCT((Data!$C$2:$C$53="K12C")*((Data!$A$2:$A$53 - Settings!$B$4/24) &lt;= A464)*((Data!$B$2:$B$53 + Settings!$B$4/24) &gt; A464))&gt;0)</f>
        <v>0</v>
      </c>
      <c r="C464">
        <f>--(SUMPRODUCT((Data!$C$2:$C$53="K12A")*((Data!$A$2:$A$53 - Settings!$B$4/24) &lt;= A464)*((Data!$B$2:$B$53 + Settings!$B$4/24) &gt; A464))&gt;0)</f>
        <v>1</v>
      </c>
      <c r="D464">
        <f>--(SUMPRODUCT((Data!$C$2:$C$53="K12")*((Data!$A$2:$A$53 - Settings!$B$4/24) &lt;= A464)*((Data!$B$2:$B$53 + Settings!$B$4/24) &gt; A464))&gt;0)</f>
        <v>0</v>
      </c>
      <c r="E464">
        <f>--(SUMPRODUCT((Data!$C$2:$C$53="K12B")*((Data!$A$2:$A$53 - Settings!$B$4/24) &lt;= A464)*((Data!$B$2:$B$53 + Settings!$B$4/24) &gt; A464))&gt;0)</f>
        <v>1</v>
      </c>
      <c r="F464">
        <f>--(SUMPRODUCT((Data!$C$2:$C$53="TT2")*((Data!$A$2:$A$53 - Settings!$B$4/24) &lt;= A464)*((Data!$B$2:$B$53 + Settings!$B$4/24) &gt; A464))&gt;0)</f>
        <v>0</v>
      </c>
    </row>
    <row r="465" spans="1:6" ht="15.6" x14ac:dyDescent="0.3">
      <c r="A465" s="1">
        <v>45951.292013888888</v>
      </c>
      <c r="B465">
        <f>--(SUMPRODUCT((Data!$C$2:$C$53="K12C")*((Data!$A$2:$A$53 - Settings!$B$4/24) &lt;= A465)*((Data!$B$2:$B$53 + Settings!$B$4/24) &gt; A465))&gt;0)</f>
        <v>0</v>
      </c>
      <c r="C465">
        <f>--(SUMPRODUCT((Data!$C$2:$C$53="K12A")*((Data!$A$2:$A$53 - Settings!$B$4/24) &lt;= A465)*((Data!$B$2:$B$53 + Settings!$B$4/24) &gt; A465))&gt;0)</f>
        <v>1</v>
      </c>
      <c r="D465">
        <f>--(SUMPRODUCT((Data!$C$2:$C$53="K12")*((Data!$A$2:$A$53 - Settings!$B$4/24) &lt;= A465)*((Data!$B$2:$B$53 + Settings!$B$4/24) &gt; A465))&gt;0)</f>
        <v>0</v>
      </c>
      <c r="E465">
        <f>--(SUMPRODUCT((Data!$C$2:$C$53="K12B")*((Data!$A$2:$A$53 - Settings!$B$4/24) &lt;= A465)*((Data!$B$2:$B$53 + Settings!$B$4/24) &gt; A465))&gt;0)</f>
        <v>0</v>
      </c>
      <c r="F465">
        <f>--(SUMPRODUCT((Data!$C$2:$C$53="TT2")*((Data!$A$2:$A$53 - Settings!$B$4/24) &lt;= A465)*((Data!$B$2:$B$53 + Settings!$B$4/24) &gt; A465))&gt;0)</f>
        <v>0</v>
      </c>
    </row>
    <row r="466" spans="1:6" ht="15.6" x14ac:dyDescent="0.3">
      <c r="A466" s="1">
        <v>45951.333680555559</v>
      </c>
      <c r="B466">
        <f>--(SUMPRODUCT((Data!$C$2:$C$53="K12C")*((Data!$A$2:$A$53 - Settings!$B$4/24) &lt;= A466)*((Data!$B$2:$B$53 + Settings!$B$4/24) &gt; A466))&gt;0)</f>
        <v>0</v>
      </c>
      <c r="C466">
        <f>--(SUMPRODUCT((Data!$C$2:$C$53="K12A")*((Data!$A$2:$A$53 - Settings!$B$4/24) &lt;= A466)*((Data!$B$2:$B$53 + Settings!$B$4/24) &gt; A466))&gt;0)</f>
        <v>1</v>
      </c>
      <c r="D466">
        <f>--(SUMPRODUCT((Data!$C$2:$C$53="K12")*((Data!$A$2:$A$53 - Settings!$B$4/24) &lt;= A466)*((Data!$B$2:$B$53 + Settings!$B$4/24) &gt; A466))&gt;0)</f>
        <v>0</v>
      </c>
      <c r="E466">
        <f>--(SUMPRODUCT((Data!$C$2:$C$53="K12B")*((Data!$A$2:$A$53 - Settings!$B$4/24) &lt;= A466)*((Data!$B$2:$B$53 + Settings!$B$4/24) &gt; A466))&gt;0)</f>
        <v>0</v>
      </c>
      <c r="F466">
        <f>--(SUMPRODUCT((Data!$C$2:$C$53="TT2")*((Data!$A$2:$A$53 - Settings!$B$4/24) &lt;= A466)*((Data!$B$2:$B$53 + Settings!$B$4/24) &gt; A466))&gt;0)</f>
        <v>0</v>
      </c>
    </row>
    <row r="467" spans="1:6" ht="15.6" x14ac:dyDescent="0.3">
      <c r="A467" s="1">
        <v>45951.375347222223</v>
      </c>
      <c r="B467">
        <f>--(SUMPRODUCT((Data!$C$2:$C$53="K12C")*((Data!$A$2:$A$53 - Settings!$B$4/24) &lt;= A467)*((Data!$B$2:$B$53 + Settings!$B$4/24) &gt; A467))&gt;0)</f>
        <v>0</v>
      </c>
      <c r="C467">
        <f>--(SUMPRODUCT((Data!$C$2:$C$53="K12A")*((Data!$A$2:$A$53 - Settings!$B$4/24) &lt;= A467)*((Data!$B$2:$B$53 + Settings!$B$4/24) &gt; A467))&gt;0)</f>
        <v>1</v>
      </c>
      <c r="D467">
        <f>--(SUMPRODUCT((Data!$C$2:$C$53="K12")*((Data!$A$2:$A$53 - Settings!$B$4/24) &lt;= A467)*((Data!$B$2:$B$53 + Settings!$B$4/24) &gt; A467))&gt;0)</f>
        <v>0</v>
      </c>
      <c r="E467">
        <f>--(SUMPRODUCT((Data!$C$2:$C$53="K12B")*((Data!$A$2:$A$53 - Settings!$B$4/24) &lt;= A467)*((Data!$B$2:$B$53 + Settings!$B$4/24) &gt; A467))&gt;0)</f>
        <v>0</v>
      </c>
      <c r="F467">
        <f>--(SUMPRODUCT((Data!$C$2:$C$53="TT2")*((Data!$A$2:$A$53 - Settings!$B$4/24) &lt;= A467)*((Data!$B$2:$B$53 + Settings!$B$4/24) &gt; A467))&gt;0)</f>
        <v>0</v>
      </c>
    </row>
    <row r="468" spans="1:6" ht="15.6" x14ac:dyDescent="0.3">
      <c r="A468" s="1">
        <v>45951.417013888888</v>
      </c>
      <c r="B468">
        <f>--(SUMPRODUCT((Data!$C$2:$C$53="K12C")*((Data!$A$2:$A$53 - Settings!$B$4/24) &lt;= A468)*((Data!$B$2:$B$53 + Settings!$B$4/24) &gt; A468))&gt;0)</f>
        <v>0</v>
      </c>
      <c r="C468">
        <f>--(SUMPRODUCT((Data!$C$2:$C$53="K12A")*((Data!$A$2:$A$53 - Settings!$B$4/24) &lt;= A468)*((Data!$B$2:$B$53 + Settings!$B$4/24) &gt; A468))&gt;0)</f>
        <v>1</v>
      </c>
      <c r="D468">
        <f>--(SUMPRODUCT((Data!$C$2:$C$53="K12")*((Data!$A$2:$A$53 - Settings!$B$4/24) &lt;= A468)*((Data!$B$2:$B$53 + Settings!$B$4/24) &gt; A468))&gt;0)</f>
        <v>0</v>
      </c>
      <c r="E468">
        <f>--(SUMPRODUCT((Data!$C$2:$C$53="K12B")*((Data!$A$2:$A$53 - Settings!$B$4/24) &lt;= A468)*((Data!$B$2:$B$53 + Settings!$B$4/24) &gt; A468))&gt;0)</f>
        <v>0</v>
      </c>
      <c r="F468">
        <f>--(SUMPRODUCT((Data!$C$2:$C$53="TT2")*((Data!$A$2:$A$53 - Settings!$B$4/24) &lt;= A468)*((Data!$B$2:$B$53 + Settings!$B$4/24) &gt; A468))&gt;0)</f>
        <v>0</v>
      </c>
    </row>
    <row r="469" spans="1:6" ht="15.6" x14ac:dyDescent="0.3">
      <c r="A469" s="1">
        <v>45951.458680555559</v>
      </c>
      <c r="B469">
        <f>--(SUMPRODUCT((Data!$C$2:$C$53="K12C")*((Data!$A$2:$A$53 - Settings!$B$4/24) &lt;= A469)*((Data!$B$2:$B$53 + Settings!$B$4/24) &gt; A469))&gt;0)</f>
        <v>0</v>
      </c>
      <c r="C469">
        <f>--(SUMPRODUCT((Data!$C$2:$C$53="K12A")*((Data!$A$2:$A$53 - Settings!$B$4/24) &lt;= A469)*((Data!$B$2:$B$53 + Settings!$B$4/24) &gt; A469))&gt;0)</f>
        <v>1</v>
      </c>
      <c r="D469">
        <f>--(SUMPRODUCT((Data!$C$2:$C$53="K12")*((Data!$A$2:$A$53 - Settings!$B$4/24) &lt;= A469)*((Data!$B$2:$B$53 + Settings!$B$4/24) &gt; A469))&gt;0)</f>
        <v>0</v>
      </c>
      <c r="E469">
        <f>--(SUMPRODUCT((Data!$C$2:$C$53="K12B")*((Data!$A$2:$A$53 - Settings!$B$4/24) &lt;= A469)*((Data!$B$2:$B$53 + Settings!$B$4/24) &gt; A469))&gt;0)</f>
        <v>0</v>
      </c>
      <c r="F469">
        <f>--(SUMPRODUCT((Data!$C$2:$C$53="TT2")*((Data!$A$2:$A$53 - Settings!$B$4/24) &lt;= A469)*((Data!$B$2:$B$53 + Settings!$B$4/24) &gt; A469))&gt;0)</f>
        <v>0</v>
      </c>
    </row>
    <row r="470" spans="1:6" ht="15.6" x14ac:dyDescent="0.3">
      <c r="A470" s="1">
        <v>45951.500347222223</v>
      </c>
      <c r="B470">
        <f>--(SUMPRODUCT((Data!$C$2:$C$53="K12C")*((Data!$A$2:$A$53 - Settings!$B$4/24) &lt;= A470)*((Data!$B$2:$B$53 + Settings!$B$4/24) &gt; A470))&gt;0)</f>
        <v>0</v>
      </c>
      <c r="C470">
        <f>--(SUMPRODUCT((Data!$C$2:$C$53="K12A")*((Data!$A$2:$A$53 - Settings!$B$4/24) &lt;= A470)*((Data!$B$2:$B$53 + Settings!$B$4/24) &gt; A470))&gt;0)</f>
        <v>1</v>
      </c>
      <c r="D470">
        <f>--(SUMPRODUCT((Data!$C$2:$C$53="K12")*((Data!$A$2:$A$53 - Settings!$B$4/24) &lt;= A470)*((Data!$B$2:$B$53 + Settings!$B$4/24) &gt; A470))&gt;0)</f>
        <v>0</v>
      </c>
      <c r="E470">
        <f>--(SUMPRODUCT((Data!$C$2:$C$53="K12B")*((Data!$A$2:$A$53 - Settings!$B$4/24) &lt;= A470)*((Data!$B$2:$B$53 + Settings!$B$4/24) &gt; A470))&gt;0)</f>
        <v>0</v>
      </c>
      <c r="F470">
        <f>--(SUMPRODUCT((Data!$C$2:$C$53="TT2")*((Data!$A$2:$A$53 - Settings!$B$4/24) &lt;= A470)*((Data!$B$2:$B$53 + Settings!$B$4/24) &gt; A470))&gt;0)</f>
        <v>0</v>
      </c>
    </row>
    <row r="471" spans="1:6" ht="15.6" x14ac:dyDescent="0.3">
      <c r="A471" s="1">
        <v>45951.542013888888</v>
      </c>
      <c r="B471">
        <f>--(SUMPRODUCT((Data!$C$2:$C$53="K12C")*((Data!$A$2:$A$53 - Settings!$B$4/24) &lt;= A471)*((Data!$B$2:$B$53 + Settings!$B$4/24) &gt; A471))&gt;0)</f>
        <v>0</v>
      </c>
      <c r="C471">
        <f>--(SUMPRODUCT((Data!$C$2:$C$53="K12A")*((Data!$A$2:$A$53 - Settings!$B$4/24) &lt;= A471)*((Data!$B$2:$B$53 + Settings!$B$4/24) &gt; A471))&gt;0)</f>
        <v>1</v>
      </c>
      <c r="D471">
        <f>--(SUMPRODUCT((Data!$C$2:$C$53="K12")*((Data!$A$2:$A$53 - Settings!$B$4/24) &lt;= A471)*((Data!$B$2:$B$53 + Settings!$B$4/24) &gt; A471))&gt;0)</f>
        <v>0</v>
      </c>
      <c r="E471">
        <f>--(SUMPRODUCT((Data!$C$2:$C$53="K12B")*((Data!$A$2:$A$53 - Settings!$B$4/24) &lt;= A471)*((Data!$B$2:$B$53 + Settings!$B$4/24) &gt; A471))&gt;0)</f>
        <v>0</v>
      </c>
      <c r="F471">
        <f>--(SUMPRODUCT((Data!$C$2:$C$53="TT2")*((Data!$A$2:$A$53 - Settings!$B$4/24) &lt;= A471)*((Data!$B$2:$B$53 + Settings!$B$4/24) &gt; A471))&gt;0)</f>
        <v>0</v>
      </c>
    </row>
    <row r="472" spans="1:6" ht="15.6" x14ac:dyDescent="0.3">
      <c r="A472" s="1">
        <v>45951.583680555559</v>
      </c>
      <c r="B472">
        <f>--(SUMPRODUCT((Data!$C$2:$C$53="K12C")*((Data!$A$2:$A$53 - Settings!$B$4/24) &lt;= A472)*((Data!$B$2:$B$53 + Settings!$B$4/24) &gt; A472))&gt;0)</f>
        <v>0</v>
      </c>
      <c r="C472">
        <f>--(SUMPRODUCT((Data!$C$2:$C$53="K12A")*((Data!$A$2:$A$53 - Settings!$B$4/24) &lt;= A472)*((Data!$B$2:$B$53 + Settings!$B$4/24) &gt; A472))&gt;0)</f>
        <v>1</v>
      </c>
      <c r="D472">
        <f>--(SUMPRODUCT((Data!$C$2:$C$53="K12")*((Data!$A$2:$A$53 - Settings!$B$4/24) &lt;= A472)*((Data!$B$2:$B$53 + Settings!$B$4/24) &gt; A472))&gt;0)</f>
        <v>0</v>
      </c>
      <c r="E472">
        <f>--(SUMPRODUCT((Data!$C$2:$C$53="K12B")*((Data!$A$2:$A$53 - Settings!$B$4/24) &lt;= A472)*((Data!$B$2:$B$53 + Settings!$B$4/24) &gt; A472))&gt;0)</f>
        <v>0</v>
      </c>
      <c r="F472">
        <f>--(SUMPRODUCT((Data!$C$2:$C$53="TT2")*((Data!$A$2:$A$53 - Settings!$B$4/24) &lt;= A472)*((Data!$B$2:$B$53 + Settings!$B$4/24) &gt; A472))&gt;0)</f>
        <v>0</v>
      </c>
    </row>
    <row r="473" spans="1:6" ht="15.6" x14ac:dyDescent="0.3">
      <c r="A473" s="1">
        <v>45951.625347222223</v>
      </c>
      <c r="B473">
        <f>--(SUMPRODUCT((Data!$C$2:$C$53="K12C")*((Data!$A$2:$A$53 - Settings!$B$4/24) &lt;= A473)*((Data!$B$2:$B$53 + Settings!$B$4/24) &gt; A473))&gt;0)</f>
        <v>0</v>
      </c>
      <c r="C473">
        <f>--(SUMPRODUCT((Data!$C$2:$C$53="K12A")*((Data!$A$2:$A$53 - Settings!$B$4/24) &lt;= A473)*((Data!$B$2:$B$53 + Settings!$B$4/24) &gt; A473))&gt;0)</f>
        <v>1</v>
      </c>
      <c r="D473">
        <f>--(SUMPRODUCT((Data!$C$2:$C$53="K12")*((Data!$A$2:$A$53 - Settings!$B$4/24) &lt;= A473)*((Data!$B$2:$B$53 + Settings!$B$4/24) &gt; A473))&gt;0)</f>
        <v>0</v>
      </c>
      <c r="E473">
        <f>--(SUMPRODUCT((Data!$C$2:$C$53="K12B")*((Data!$A$2:$A$53 - Settings!$B$4/24) &lt;= A473)*((Data!$B$2:$B$53 + Settings!$B$4/24) &gt; A473))&gt;0)</f>
        <v>0</v>
      </c>
      <c r="F473">
        <f>--(SUMPRODUCT((Data!$C$2:$C$53="TT2")*((Data!$A$2:$A$53 - Settings!$B$4/24) &lt;= A473)*((Data!$B$2:$B$53 + Settings!$B$4/24) &gt; A473))&gt;0)</f>
        <v>0</v>
      </c>
    </row>
    <row r="474" spans="1:6" ht="15.6" x14ac:dyDescent="0.3">
      <c r="A474" s="1">
        <v>45951.667013888888</v>
      </c>
      <c r="B474">
        <f>--(SUMPRODUCT((Data!$C$2:$C$53="K12C")*((Data!$A$2:$A$53 - Settings!$B$4/24) &lt;= A474)*((Data!$B$2:$B$53 + Settings!$B$4/24) &gt; A474))&gt;0)</f>
        <v>0</v>
      </c>
      <c r="C474">
        <f>--(SUMPRODUCT((Data!$C$2:$C$53="K12A")*((Data!$A$2:$A$53 - Settings!$B$4/24) &lt;= A474)*((Data!$B$2:$B$53 + Settings!$B$4/24) &gt; A474))&gt;0)</f>
        <v>0</v>
      </c>
      <c r="D474">
        <f>--(SUMPRODUCT((Data!$C$2:$C$53="K12")*((Data!$A$2:$A$53 - Settings!$B$4/24) &lt;= A474)*((Data!$B$2:$B$53 + Settings!$B$4/24) &gt; A474))&gt;0)</f>
        <v>0</v>
      </c>
      <c r="E474">
        <f>--(SUMPRODUCT((Data!$C$2:$C$53="K12B")*((Data!$A$2:$A$53 - Settings!$B$4/24) &lt;= A474)*((Data!$B$2:$B$53 + Settings!$B$4/24) &gt; A474))&gt;0)</f>
        <v>0</v>
      </c>
      <c r="F474">
        <f>--(SUMPRODUCT((Data!$C$2:$C$53="TT2")*((Data!$A$2:$A$53 - Settings!$B$4/24) &lt;= A474)*((Data!$B$2:$B$53 + Settings!$B$4/24) &gt; A474))&gt;0)</f>
        <v>0</v>
      </c>
    </row>
    <row r="475" spans="1:6" ht="15.6" x14ac:dyDescent="0.3">
      <c r="A475" s="1">
        <v>45951.708680555559</v>
      </c>
      <c r="B475">
        <f>--(SUMPRODUCT((Data!$C$2:$C$53="K12C")*((Data!$A$2:$A$53 - Settings!$B$4/24) &lt;= A475)*((Data!$B$2:$B$53 + Settings!$B$4/24) &gt; A475))&gt;0)</f>
        <v>0</v>
      </c>
      <c r="C475">
        <f>--(SUMPRODUCT((Data!$C$2:$C$53="K12A")*((Data!$A$2:$A$53 - Settings!$B$4/24) &lt;= A475)*((Data!$B$2:$B$53 + Settings!$B$4/24) &gt; A475))&gt;0)</f>
        <v>0</v>
      </c>
      <c r="D475">
        <f>--(SUMPRODUCT((Data!$C$2:$C$53="K12")*((Data!$A$2:$A$53 - Settings!$B$4/24) &lt;= A475)*((Data!$B$2:$B$53 + Settings!$B$4/24) &gt; A475))&gt;0)</f>
        <v>0</v>
      </c>
      <c r="E475">
        <f>--(SUMPRODUCT((Data!$C$2:$C$53="K12B")*((Data!$A$2:$A$53 - Settings!$B$4/24) &lt;= A475)*((Data!$B$2:$B$53 + Settings!$B$4/24) &gt; A475))&gt;0)</f>
        <v>0</v>
      </c>
      <c r="F475">
        <f>--(SUMPRODUCT((Data!$C$2:$C$53="TT2")*((Data!$A$2:$A$53 - Settings!$B$4/24) &lt;= A475)*((Data!$B$2:$B$53 + Settings!$B$4/24) &gt; A475))&gt;0)</f>
        <v>0</v>
      </c>
    </row>
    <row r="476" spans="1:6" ht="15.6" x14ac:dyDescent="0.3">
      <c r="A476" s="1">
        <v>45951.750347222223</v>
      </c>
      <c r="B476">
        <f>--(SUMPRODUCT((Data!$C$2:$C$53="K12C")*((Data!$A$2:$A$53 - Settings!$B$4/24) &lt;= A476)*((Data!$B$2:$B$53 + Settings!$B$4/24) &gt; A476))&gt;0)</f>
        <v>0</v>
      </c>
      <c r="C476">
        <f>--(SUMPRODUCT((Data!$C$2:$C$53="K12A")*((Data!$A$2:$A$53 - Settings!$B$4/24) &lt;= A476)*((Data!$B$2:$B$53 + Settings!$B$4/24) &gt; A476))&gt;0)</f>
        <v>0</v>
      </c>
      <c r="D476">
        <f>--(SUMPRODUCT((Data!$C$2:$C$53="K12")*((Data!$A$2:$A$53 - Settings!$B$4/24) &lt;= A476)*((Data!$B$2:$B$53 + Settings!$B$4/24) &gt; A476))&gt;0)</f>
        <v>0</v>
      </c>
      <c r="E476">
        <f>--(SUMPRODUCT((Data!$C$2:$C$53="K12B")*((Data!$A$2:$A$53 - Settings!$B$4/24) &lt;= A476)*((Data!$B$2:$B$53 + Settings!$B$4/24) &gt; A476))&gt;0)</f>
        <v>0</v>
      </c>
      <c r="F476">
        <f>--(SUMPRODUCT((Data!$C$2:$C$53="TT2")*((Data!$A$2:$A$53 - Settings!$B$4/24) &lt;= A476)*((Data!$B$2:$B$53 + Settings!$B$4/24) &gt; A476))&gt;0)</f>
        <v>0</v>
      </c>
    </row>
    <row r="477" spans="1:6" ht="15.6" x14ac:dyDescent="0.3">
      <c r="A477" s="1">
        <v>45951.792013888888</v>
      </c>
      <c r="B477">
        <f>--(SUMPRODUCT((Data!$C$2:$C$53="K12C")*((Data!$A$2:$A$53 - Settings!$B$4/24) &lt;= A477)*((Data!$B$2:$B$53 + Settings!$B$4/24) &gt; A477))&gt;0)</f>
        <v>0</v>
      </c>
      <c r="C477">
        <f>--(SUMPRODUCT((Data!$C$2:$C$53="K12A")*((Data!$A$2:$A$53 - Settings!$B$4/24) &lt;= A477)*((Data!$B$2:$B$53 + Settings!$B$4/24) &gt; A477))&gt;0)</f>
        <v>0</v>
      </c>
      <c r="D477">
        <f>--(SUMPRODUCT((Data!$C$2:$C$53="K12")*((Data!$A$2:$A$53 - Settings!$B$4/24) &lt;= A477)*((Data!$B$2:$B$53 + Settings!$B$4/24) &gt; A477))&gt;0)</f>
        <v>0</v>
      </c>
      <c r="E477">
        <f>--(SUMPRODUCT((Data!$C$2:$C$53="K12B")*((Data!$A$2:$A$53 - Settings!$B$4/24) &lt;= A477)*((Data!$B$2:$B$53 + Settings!$B$4/24) &gt; A477))&gt;0)</f>
        <v>0</v>
      </c>
      <c r="F477">
        <f>--(SUMPRODUCT((Data!$C$2:$C$53="TT2")*((Data!$A$2:$A$53 - Settings!$B$4/24) &lt;= A477)*((Data!$B$2:$B$53 + Settings!$B$4/24) &gt; A477))&gt;0)</f>
        <v>0</v>
      </c>
    </row>
    <row r="478" spans="1:6" ht="15.6" x14ac:dyDescent="0.3">
      <c r="A478" s="1">
        <v>45951.833680555559</v>
      </c>
      <c r="B478">
        <f>--(SUMPRODUCT((Data!$C$2:$C$53="K12C")*((Data!$A$2:$A$53 - Settings!$B$4/24) &lt;= A478)*((Data!$B$2:$B$53 + Settings!$B$4/24) &gt; A478))&gt;0)</f>
        <v>0</v>
      </c>
      <c r="C478">
        <f>--(SUMPRODUCT((Data!$C$2:$C$53="K12A")*((Data!$A$2:$A$53 - Settings!$B$4/24) &lt;= A478)*((Data!$B$2:$B$53 + Settings!$B$4/24) &gt; A478))&gt;0)</f>
        <v>0</v>
      </c>
      <c r="D478">
        <f>--(SUMPRODUCT((Data!$C$2:$C$53="K12")*((Data!$A$2:$A$53 - Settings!$B$4/24) &lt;= A478)*((Data!$B$2:$B$53 + Settings!$B$4/24) &gt; A478))&gt;0)</f>
        <v>0</v>
      </c>
      <c r="E478">
        <f>--(SUMPRODUCT((Data!$C$2:$C$53="K12B")*((Data!$A$2:$A$53 - Settings!$B$4/24) &lt;= A478)*((Data!$B$2:$B$53 + Settings!$B$4/24) &gt; A478))&gt;0)</f>
        <v>0</v>
      </c>
      <c r="F478">
        <f>--(SUMPRODUCT((Data!$C$2:$C$53="TT2")*((Data!$A$2:$A$53 - Settings!$B$4/24) &lt;= A478)*((Data!$B$2:$B$53 + Settings!$B$4/24) &gt; A478))&gt;0)</f>
        <v>0</v>
      </c>
    </row>
    <row r="479" spans="1:6" ht="15.6" x14ac:dyDescent="0.3">
      <c r="A479" s="1">
        <v>45951.875347222223</v>
      </c>
      <c r="B479">
        <f>--(SUMPRODUCT((Data!$C$2:$C$53="K12C")*((Data!$A$2:$A$53 - Settings!$B$4/24) &lt;= A479)*((Data!$B$2:$B$53 + Settings!$B$4/24) &gt; A479))&gt;0)</f>
        <v>0</v>
      </c>
      <c r="C479">
        <f>--(SUMPRODUCT((Data!$C$2:$C$53="K12A")*((Data!$A$2:$A$53 - Settings!$B$4/24) &lt;= A479)*((Data!$B$2:$B$53 + Settings!$B$4/24) &gt; A479))&gt;0)</f>
        <v>0</v>
      </c>
      <c r="D479">
        <f>--(SUMPRODUCT((Data!$C$2:$C$53="K12")*((Data!$A$2:$A$53 - Settings!$B$4/24) &lt;= A479)*((Data!$B$2:$B$53 + Settings!$B$4/24) &gt; A479))&gt;0)</f>
        <v>0</v>
      </c>
      <c r="E479">
        <f>--(SUMPRODUCT((Data!$C$2:$C$53="K12B")*((Data!$A$2:$A$53 - Settings!$B$4/24) &lt;= A479)*((Data!$B$2:$B$53 + Settings!$B$4/24) &gt; A479))&gt;0)</f>
        <v>0</v>
      </c>
      <c r="F479">
        <f>--(SUMPRODUCT((Data!$C$2:$C$53="TT2")*((Data!$A$2:$A$53 - Settings!$B$4/24) &lt;= A479)*((Data!$B$2:$B$53 + Settings!$B$4/24) &gt; A479))&gt;0)</f>
        <v>0</v>
      </c>
    </row>
    <row r="480" spans="1:6" ht="15.6" x14ac:dyDescent="0.3">
      <c r="A480" s="1">
        <v>45951.917013888888</v>
      </c>
      <c r="B480">
        <f>--(SUMPRODUCT((Data!$C$2:$C$53="K12C")*((Data!$A$2:$A$53 - Settings!$B$4/24) &lt;= A480)*((Data!$B$2:$B$53 + Settings!$B$4/24) &gt; A480))&gt;0)</f>
        <v>0</v>
      </c>
      <c r="C480">
        <f>--(SUMPRODUCT((Data!$C$2:$C$53="K12A")*((Data!$A$2:$A$53 - Settings!$B$4/24) &lt;= A480)*((Data!$B$2:$B$53 + Settings!$B$4/24) &gt; A480))&gt;0)</f>
        <v>0</v>
      </c>
      <c r="D480">
        <f>--(SUMPRODUCT((Data!$C$2:$C$53="K12")*((Data!$A$2:$A$53 - Settings!$B$4/24) &lt;= A480)*((Data!$B$2:$B$53 + Settings!$B$4/24) &gt; A480))&gt;0)</f>
        <v>0</v>
      </c>
      <c r="E480">
        <f>--(SUMPRODUCT((Data!$C$2:$C$53="K12B")*((Data!$A$2:$A$53 - Settings!$B$4/24) &lt;= A480)*((Data!$B$2:$B$53 + Settings!$B$4/24) &gt; A480))&gt;0)</f>
        <v>0</v>
      </c>
      <c r="F480">
        <f>--(SUMPRODUCT((Data!$C$2:$C$53="TT2")*((Data!$A$2:$A$53 - Settings!$B$4/24) &lt;= A480)*((Data!$B$2:$B$53 + Settings!$B$4/24) &gt; A480))&gt;0)</f>
        <v>0</v>
      </c>
    </row>
    <row r="481" spans="1:6" ht="15.6" x14ac:dyDescent="0.3">
      <c r="A481" s="1">
        <v>45951.958680555559</v>
      </c>
      <c r="B481">
        <f>--(SUMPRODUCT((Data!$C$2:$C$53="K12C")*((Data!$A$2:$A$53 - Settings!$B$4/24) &lt;= A481)*((Data!$B$2:$B$53 + Settings!$B$4/24) &gt; A481))&gt;0)</f>
        <v>0</v>
      </c>
      <c r="C481">
        <f>--(SUMPRODUCT((Data!$C$2:$C$53="K12A")*((Data!$A$2:$A$53 - Settings!$B$4/24) &lt;= A481)*((Data!$B$2:$B$53 + Settings!$B$4/24) &gt; A481))&gt;0)</f>
        <v>0</v>
      </c>
      <c r="D481">
        <f>--(SUMPRODUCT((Data!$C$2:$C$53="K12")*((Data!$A$2:$A$53 - Settings!$B$4/24) &lt;= A481)*((Data!$B$2:$B$53 + Settings!$B$4/24) &gt; A481))&gt;0)</f>
        <v>0</v>
      </c>
      <c r="E481">
        <f>--(SUMPRODUCT((Data!$C$2:$C$53="K12B")*((Data!$A$2:$A$53 - Settings!$B$4/24) &lt;= A481)*((Data!$B$2:$B$53 + Settings!$B$4/24) &gt; A481))&gt;0)</f>
        <v>0</v>
      </c>
      <c r="F481">
        <f>--(SUMPRODUCT((Data!$C$2:$C$53="TT2")*((Data!$A$2:$A$53 - Settings!$B$4/24) &lt;= A481)*((Data!$B$2:$B$53 + Settings!$B$4/24) &gt; A481))&gt;0)</f>
        <v>0</v>
      </c>
    </row>
    <row r="482" spans="1:6" ht="15.6" x14ac:dyDescent="0.3">
      <c r="A482" s="1">
        <v>45952.000347222223</v>
      </c>
      <c r="B482">
        <f>--(SUMPRODUCT((Data!$C$2:$C$53="K12C")*((Data!$A$2:$A$53 - Settings!$B$4/24) &lt;= A482)*((Data!$B$2:$B$53 + Settings!$B$4/24) &gt; A482))&gt;0)</f>
        <v>0</v>
      </c>
      <c r="C482">
        <f>--(SUMPRODUCT((Data!$C$2:$C$53="K12A")*((Data!$A$2:$A$53 - Settings!$B$4/24) &lt;= A482)*((Data!$B$2:$B$53 + Settings!$B$4/24) &gt; A482))&gt;0)</f>
        <v>0</v>
      </c>
      <c r="D482">
        <f>--(SUMPRODUCT((Data!$C$2:$C$53="K12")*((Data!$A$2:$A$53 - Settings!$B$4/24) &lt;= A482)*((Data!$B$2:$B$53 + Settings!$B$4/24) &gt; A482))&gt;0)</f>
        <v>0</v>
      </c>
      <c r="E482">
        <f>--(SUMPRODUCT((Data!$C$2:$C$53="K12B")*((Data!$A$2:$A$53 - Settings!$B$4/24) &lt;= A482)*((Data!$B$2:$B$53 + Settings!$B$4/24) &gt; A482))&gt;0)</f>
        <v>0</v>
      </c>
      <c r="F482">
        <f>--(SUMPRODUCT((Data!$C$2:$C$53="TT2")*((Data!$A$2:$A$53 - Settings!$B$4/24) &lt;= A482)*((Data!$B$2:$B$53 + Settings!$B$4/24) &gt; A482))&gt;0)</f>
        <v>0</v>
      </c>
    </row>
    <row r="483" spans="1:6" ht="15.6" x14ac:dyDescent="0.3">
      <c r="A483" s="1">
        <v>45952.042013888888</v>
      </c>
      <c r="B483">
        <f>--(SUMPRODUCT((Data!$C$2:$C$53="K12C")*((Data!$A$2:$A$53 - Settings!$B$4/24) &lt;= A483)*((Data!$B$2:$B$53 + Settings!$B$4/24) &gt; A483))&gt;0)</f>
        <v>0</v>
      </c>
      <c r="C483">
        <f>--(SUMPRODUCT((Data!$C$2:$C$53="K12A")*((Data!$A$2:$A$53 - Settings!$B$4/24) &lt;= A483)*((Data!$B$2:$B$53 + Settings!$B$4/24) &gt; A483))&gt;0)</f>
        <v>0</v>
      </c>
      <c r="D483">
        <f>--(SUMPRODUCT((Data!$C$2:$C$53="K12")*((Data!$A$2:$A$53 - Settings!$B$4/24) &lt;= A483)*((Data!$B$2:$B$53 + Settings!$B$4/24) &gt; A483))&gt;0)</f>
        <v>0</v>
      </c>
      <c r="E483">
        <f>--(SUMPRODUCT((Data!$C$2:$C$53="K12B")*((Data!$A$2:$A$53 - Settings!$B$4/24) &lt;= A483)*((Data!$B$2:$B$53 + Settings!$B$4/24) &gt; A483))&gt;0)</f>
        <v>0</v>
      </c>
      <c r="F483">
        <f>--(SUMPRODUCT((Data!$C$2:$C$53="TT2")*((Data!$A$2:$A$53 - Settings!$B$4/24) &lt;= A483)*((Data!$B$2:$B$53 + Settings!$B$4/24) &gt; A483))&gt;0)</f>
        <v>0</v>
      </c>
    </row>
    <row r="484" spans="1:6" ht="15.6" x14ac:dyDescent="0.3">
      <c r="A484" s="1">
        <v>45952.083680555559</v>
      </c>
      <c r="B484">
        <f>--(SUMPRODUCT((Data!$C$2:$C$53="K12C")*((Data!$A$2:$A$53 - Settings!$B$4/24) &lt;= A484)*((Data!$B$2:$B$53 + Settings!$B$4/24) &gt; A484))&gt;0)</f>
        <v>0</v>
      </c>
      <c r="C484">
        <f>--(SUMPRODUCT((Data!$C$2:$C$53="K12A")*((Data!$A$2:$A$53 - Settings!$B$4/24) &lt;= A484)*((Data!$B$2:$B$53 + Settings!$B$4/24) &gt; A484))&gt;0)</f>
        <v>0</v>
      </c>
      <c r="D484">
        <f>--(SUMPRODUCT((Data!$C$2:$C$53="K12")*((Data!$A$2:$A$53 - Settings!$B$4/24) &lt;= A484)*((Data!$B$2:$B$53 + Settings!$B$4/24) &gt; A484))&gt;0)</f>
        <v>0</v>
      </c>
      <c r="E484">
        <f>--(SUMPRODUCT((Data!$C$2:$C$53="K12B")*((Data!$A$2:$A$53 - Settings!$B$4/24) &lt;= A484)*((Data!$B$2:$B$53 + Settings!$B$4/24) &gt; A484))&gt;0)</f>
        <v>0</v>
      </c>
      <c r="F484">
        <f>--(SUMPRODUCT((Data!$C$2:$C$53="TT2")*((Data!$A$2:$A$53 - Settings!$B$4/24) &lt;= A484)*((Data!$B$2:$B$53 + Settings!$B$4/24) &gt; A484))&gt;0)</f>
        <v>0</v>
      </c>
    </row>
    <row r="485" spans="1:6" ht="15.6" x14ac:dyDescent="0.3">
      <c r="A485" s="1">
        <v>45952.125347222223</v>
      </c>
      <c r="B485">
        <f>--(SUMPRODUCT((Data!$C$2:$C$53="K12C")*((Data!$A$2:$A$53 - Settings!$B$4/24) &lt;= A485)*((Data!$B$2:$B$53 + Settings!$B$4/24) &gt; A485))&gt;0)</f>
        <v>0</v>
      </c>
      <c r="C485">
        <f>--(SUMPRODUCT((Data!$C$2:$C$53="K12A")*((Data!$A$2:$A$53 - Settings!$B$4/24) &lt;= A485)*((Data!$B$2:$B$53 + Settings!$B$4/24) &gt; A485))&gt;0)</f>
        <v>0</v>
      </c>
      <c r="D485">
        <f>--(SUMPRODUCT((Data!$C$2:$C$53="K12")*((Data!$A$2:$A$53 - Settings!$B$4/24) &lt;= A485)*((Data!$B$2:$B$53 + Settings!$B$4/24) &gt; A485))&gt;0)</f>
        <v>0</v>
      </c>
      <c r="E485">
        <f>--(SUMPRODUCT((Data!$C$2:$C$53="K12B")*((Data!$A$2:$A$53 - Settings!$B$4/24) &lt;= A485)*((Data!$B$2:$B$53 + Settings!$B$4/24) &gt; A485))&gt;0)</f>
        <v>0</v>
      </c>
      <c r="F485">
        <f>--(SUMPRODUCT((Data!$C$2:$C$53="TT2")*((Data!$A$2:$A$53 - Settings!$B$4/24) &lt;= A485)*((Data!$B$2:$B$53 + Settings!$B$4/24) &gt; A485))&gt;0)</f>
        <v>0</v>
      </c>
    </row>
    <row r="486" spans="1:6" ht="15.6" x14ac:dyDescent="0.3">
      <c r="A486" s="1">
        <v>45952.167013888888</v>
      </c>
      <c r="B486">
        <f>--(SUMPRODUCT((Data!$C$2:$C$53="K12C")*((Data!$A$2:$A$53 - Settings!$B$4/24) &lt;= A486)*((Data!$B$2:$B$53 + Settings!$B$4/24) &gt; A486))&gt;0)</f>
        <v>0</v>
      </c>
      <c r="C486">
        <f>--(SUMPRODUCT((Data!$C$2:$C$53="K12A")*((Data!$A$2:$A$53 - Settings!$B$4/24) &lt;= A486)*((Data!$B$2:$B$53 + Settings!$B$4/24) &gt; A486))&gt;0)</f>
        <v>0</v>
      </c>
      <c r="D486">
        <f>--(SUMPRODUCT((Data!$C$2:$C$53="K12")*((Data!$A$2:$A$53 - Settings!$B$4/24) &lt;= A486)*((Data!$B$2:$B$53 + Settings!$B$4/24) &gt; A486))&gt;0)</f>
        <v>0</v>
      </c>
      <c r="E486">
        <f>--(SUMPRODUCT((Data!$C$2:$C$53="K12B")*((Data!$A$2:$A$53 - Settings!$B$4/24) &lt;= A486)*((Data!$B$2:$B$53 + Settings!$B$4/24) &gt; A486))&gt;0)</f>
        <v>0</v>
      </c>
      <c r="F486">
        <f>--(SUMPRODUCT((Data!$C$2:$C$53="TT2")*((Data!$A$2:$A$53 - Settings!$B$4/24) &lt;= A486)*((Data!$B$2:$B$53 + Settings!$B$4/24) &gt; A486))&gt;0)</f>
        <v>0</v>
      </c>
    </row>
    <row r="487" spans="1:6" ht="15.6" x14ac:dyDescent="0.3">
      <c r="A487" s="1">
        <v>45952.208680555559</v>
      </c>
      <c r="B487">
        <f>--(SUMPRODUCT((Data!$C$2:$C$53="K12C")*((Data!$A$2:$A$53 - Settings!$B$4/24) &lt;= A487)*((Data!$B$2:$B$53 + Settings!$B$4/24) &gt; A487))&gt;0)</f>
        <v>0</v>
      </c>
      <c r="C487">
        <f>--(SUMPRODUCT((Data!$C$2:$C$53="K12A")*((Data!$A$2:$A$53 - Settings!$B$4/24) &lt;= A487)*((Data!$B$2:$B$53 + Settings!$B$4/24) &gt; A487))&gt;0)</f>
        <v>0</v>
      </c>
      <c r="D487">
        <f>--(SUMPRODUCT((Data!$C$2:$C$53="K12")*((Data!$A$2:$A$53 - Settings!$B$4/24) &lt;= A487)*((Data!$B$2:$B$53 + Settings!$B$4/24) &gt; A487))&gt;0)</f>
        <v>0</v>
      </c>
      <c r="E487">
        <f>--(SUMPRODUCT((Data!$C$2:$C$53="K12B")*((Data!$A$2:$A$53 - Settings!$B$4/24) &lt;= A487)*((Data!$B$2:$B$53 + Settings!$B$4/24) &gt; A487))&gt;0)</f>
        <v>0</v>
      </c>
      <c r="F487">
        <f>--(SUMPRODUCT((Data!$C$2:$C$53="TT2")*((Data!$A$2:$A$53 - Settings!$B$4/24) &lt;= A487)*((Data!$B$2:$B$53 + Settings!$B$4/24) &gt; A487))&gt;0)</f>
        <v>0</v>
      </c>
    </row>
    <row r="488" spans="1:6" ht="15.6" x14ac:dyDescent="0.3">
      <c r="A488" s="1">
        <v>45952.250347222223</v>
      </c>
      <c r="B488">
        <f>--(SUMPRODUCT((Data!$C$2:$C$53="K12C")*((Data!$A$2:$A$53 - Settings!$B$4/24) &lt;= A488)*((Data!$B$2:$B$53 + Settings!$B$4/24) &gt; A488))&gt;0)</f>
        <v>0</v>
      </c>
      <c r="C488">
        <f>--(SUMPRODUCT((Data!$C$2:$C$53="K12A")*((Data!$A$2:$A$53 - Settings!$B$4/24) &lt;= A488)*((Data!$B$2:$B$53 + Settings!$B$4/24) &gt; A488))&gt;0)</f>
        <v>0</v>
      </c>
      <c r="D488">
        <f>--(SUMPRODUCT((Data!$C$2:$C$53="K12")*((Data!$A$2:$A$53 - Settings!$B$4/24) &lt;= A488)*((Data!$B$2:$B$53 + Settings!$B$4/24) &gt; A488))&gt;0)</f>
        <v>0</v>
      </c>
      <c r="E488">
        <f>--(SUMPRODUCT((Data!$C$2:$C$53="K12B")*((Data!$A$2:$A$53 - Settings!$B$4/24) &lt;= A488)*((Data!$B$2:$B$53 + Settings!$B$4/24) &gt; A488))&gt;0)</f>
        <v>0</v>
      </c>
      <c r="F488">
        <f>--(SUMPRODUCT((Data!$C$2:$C$53="TT2")*((Data!$A$2:$A$53 - Settings!$B$4/24) &lt;= A488)*((Data!$B$2:$B$53 + Settings!$B$4/24) &gt; A488))&gt;0)</f>
        <v>0</v>
      </c>
    </row>
    <row r="489" spans="1:6" ht="15.6" x14ac:dyDescent="0.3">
      <c r="A489" s="1">
        <v>45952.292013888888</v>
      </c>
      <c r="B489">
        <f>--(SUMPRODUCT((Data!$C$2:$C$53="K12C")*((Data!$A$2:$A$53 - Settings!$B$4/24) &lt;= A489)*((Data!$B$2:$B$53 + Settings!$B$4/24) &gt; A489))&gt;0)</f>
        <v>0</v>
      </c>
      <c r="C489">
        <f>--(SUMPRODUCT((Data!$C$2:$C$53="K12A")*((Data!$A$2:$A$53 - Settings!$B$4/24) &lt;= A489)*((Data!$B$2:$B$53 + Settings!$B$4/24) &gt; A489))&gt;0)</f>
        <v>0</v>
      </c>
      <c r="D489">
        <f>--(SUMPRODUCT((Data!$C$2:$C$53="K12")*((Data!$A$2:$A$53 - Settings!$B$4/24) &lt;= A489)*((Data!$B$2:$B$53 + Settings!$B$4/24) &gt; A489))&gt;0)</f>
        <v>0</v>
      </c>
      <c r="E489">
        <f>--(SUMPRODUCT((Data!$C$2:$C$53="K12B")*((Data!$A$2:$A$53 - Settings!$B$4/24) &lt;= A489)*((Data!$B$2:$B$53 + Settings!$B$4/24) &gt; A489))&gt;0)</f>
        <v>0</v>
      </c>
      <c r="F489">
        <f>--(SUMPRODUCT((Data!$C$2:$C$53="TT2")*((Data!$A$2:$A$53 - Settings!$B$4/24) &lt;= A489)*((Data!$B$2:$B$53 + Settings!$B$4/24) &gt; A489))&gt;0)</f>
        <v>0</v>
      </c>
    </row>
    <row r="490" spans="1:6" ht="15.6" x14ac:dyDescent="0.3">
      <c r="A490" s="1">
        <v>45952.333680555559</v>
      </c>
      <c r="B490">
        <f>--(SUMPRODUCT((Data!$C$2:$C$53="K12C")*((Data!$A$2:$A$53 - Settings!$B$4/24) &lt;= A490)*((Data!$B$2:$B$53 + Settings!$B$4/24) &gt; A490))&gt;0)</f>
        <v>0</v>
      </c>
      <c r="C490">
        <f>--(SUMPRODUCT((Data!$C$2:$C$53="K12A")*((Data!$A$2:$A$53 - Settings!$B$4/24) &lt;= A490)*((Data!$B$2:$B$53 + Settings!$B$4/24) &gt; A490))&gt;0)</f>
        <v>0</v>
      </c>
      <c r="D490">
        <f>--(SUMPRODUCT((Data!$C$2:$C$53="K12")*((Data!$A$2:$A$53 - Settings!$B$4/24) &lt;= A490)*((Data!$B$2:$B$53 + Settings!$B$4/24) &gt; A490))&gt;0)</f>
        <v>0</v>
      </c>
      <c r="E490">
        <f>--(SUMPRODUCT((Data!$C$2:$C$53="K12B")*((Data!$A$2:$A$53 - Settings!$B$4/24) &lt;= A490)*((Data!$B$2:$B$53 + Settings!$B$4/24) &gt; A490))&gt;0)</f>
        <v>0</v>
      </c>
      <c r="F490">
        <f>--(SUMPRODUCT((Data!$C$2:$C$53="TT2")*((Data!$A$2:$A$53 - Settings!$B$4/24) &lt;= A490)*((Data!$B$2:$B$53 + Settings!$B$4/24) &gt; A490))&gt;0)</f>
        <v>0</v>
      </c>
    </row>
    <row r="491" spans="1:6" ht="15.6" x14ac:dyDescent="0.3">
      <c r="A491" s="1">
        <v>45952.375347222223</v>
      </c>
      <c r="B491">
        <f>--(SUMPRODUCT((Data!$C$2:$C$53="K12C")*((Data!$A$2:$A$53 - Settings!$B$4/24) &lt;= A491)*((Data!$B$2:$B$53 + Settings!$B$4/24) &gt; A491))&gt;0)</f>
        <v>0</v>
      </c>
      <c r="C491">
        <f>--(SUMPRODUCT((Data!$C$2:$C$53="K12A")*((Data!$A$2:$A$53 - Settings!$B$4/24) &lt;= A491)*((Data!$B$2:$B$53 + Settings!$B$4/24) &gt; A491))&gt;0)</f>
        <v>0</v>
      </c>
      <c r="D491">
        <f>--(SUMPRODUCT((Data!$C$2:$C$53="K12")*((Data!$A$2:$A$53 - Settings!$B$4/24) &lt;= A491)*((Data!$B$2:$B$53 + Settings!$B$4/24) &gt; A491))&gt;0)</f>
        <v>0</v>
      </c>
      <c r="E491">
        <f>--(SUMPRODUCT((Data!$C$2:$C$53="K12B")*((Data!$A$2:$A$53 - Settings!$B$4/24) &lt;= A491)*((Data!$B$2:$B$53 + Settings!$B$4/24) &gt; A491))&gt;0)</f>
        <v>0</v>
      </c>
      <c r="F491">
        <f>--(SUMPRODUCT((Data!$C$2:$C$53="TT2")*((Data!$A$2:$A$53 - Settings!$B$4/24) &lt;= A491)*((Data!$B$2:$B$53 + Settings!$B$4/24) &gt; A491))&gt;0)</f>
        <v>0</v>
      </c>
    </row>
    <row r="492" spans="1:6" ht="15.6" x14ac:dyDescent="0.3">
      <c r="A492" s="1">
        <v>45952.417013888888</v>
      </c>
      <c r="B492">
        <f>--(SUMPRODUCT((Data!$C$2:$C$53="K12C")*((Data!$A$2:$A$53 - Settings!$B$4/24) &lt;= A492)*((Data!$B$2:$B$53 + Settings!$B$4/24) &gt; A492))&gt;0)</f>
        <v>0</v>
      </c>
      <c r="C492">
        <f>--(SUMPRODUCT((Data!$C$2:$C$53="K12A")*((Data!$A$2:$A$53 - Settings!$B$4/24) &lt;= A492)*((Data!$B$2:$B$53 + Settings!$B$4/24) &gt; A492))&gt;0)</f>
        <v>0</v>
      </c>
      <c r="D492">
        <f>--(SUMPRODUCT((Data!$C$2:$C$53="K12")*((Data!$A$2:$A$53 - Settings!$B$4/24) &lt;= A492)*((Data!$B$2:$B$53 + Settings!$B$4/24) &gt; A492))&gt;0)</f>
        <v>0</v>
      </c>
      <c r="E492">
        <f>--(SUMPRODUCT((Data!$C$2:$C$53="K12B")*((Data!$A$2:$A$53 - Settings!$B$4/24) &lt;= A492)*((Data!$B$2:$B$53 + Settings!$B$4/24) &gt; A492))&gt;0)</f>
        <v>0</v>
      </c>
      <c r="F492">
        <f>--(SUMPRODUCT((Data!$C$2:$C$53="TT2")*((Data!$A$2:$A$53 - Settings!$B$4/24) &lt;= A492)*((Data!$B$2:$B$53 + Settings!$B$4/24) &gt; A492))&gt;0)</f>
        <v>0</v>
      </c>
    </row>
    <row r="493" spans="1:6" ht="15.6" x14ac:dyDescent="0.3">
      <c r="A493" s="1">
        <v>45952.458680555559</v>
      </c>
      <c r="B493">
        <f>--(SUMPRODUCT((Data!$C$2:$C$53="K12C")*((Data!$A$2:$A$53 - Settings!$B$4/24) &lt;= A493)*((Data!$B$2:$B$53 + Settings!$B$4/24) &gt; A493))&gt;0)</f>
        <v>0</v>
      </c>
      <c r="C493">
        <f>--(SUMPRODUCT((Data!$C$2:$C$53="K12A")*((Data!$A$2:$A$53 - Settings!$B$4/24) &lt;= A493)*((Data!$B$2:$B$53 + Settings!$B$4/24) &gt; A493))&gt;0)</f>
        <v>0</v>
      </c>
      <c r="D493">
        <f>--(SUMPRODUCT((Data!$C$2:$C$53="K12")*((Data!$A$2:$A$53 - Settings!$B$4/24) &lt;= A493)*((Data!$B$2:$B$53 + Settings!$B$4/24) &gt; A493))&gt;0)</f>
        <v>0</v>
      </c>
      <c r="E493">
        <f>--(SUMPRODUCT((Data!$C$2:$C$53="K12B")*((Data!$A$2:$A$53 - Settings!$B$4/24) &lt;= A493)*((Data!$B$2:$B$53 + Settings!$B$4/24) &gt; A493))&gt;0)</f>
        <v>0</v>
      </c>
      <c r="F493">
        <f>--(SUMPRODUCT((Data!$C$2:$C$53="TT2")*((Data!$A$2:$A$53 - Settings!$B$4/24) &lt;= A493)*((Data!$B$2:$B$53 + Settings!$B$4/24) &gt; A493))&gt;0)</f>
        <v>0</v>
      </c>
    </row>
    <row r="494" spans="1:6" ht="15.6" x14ac:dyDescent="0.3">
      <c r="A494" s="1">
        <v>45952.500347222223</v>
      </c>
      <c r="B494">
        <f>--(SUMPRODUCT((Data!$C$2:$C$53="K12C")*((Data!$A$2:$A$53 - Settings!$B$4/24) &lt;= A494)*((Data!$B$2:$B$53 + Settings!$B$4/24) &gt; A494))&gt;0)</f>
        <v>0</v>
      </c>
      <c r="C494">
        <f>--(SUMPRODUCT((Data!$C$2:$C$53="K12A")*((Data!$A$2:$A$53 - Settings!$B$4/24) &lt;= A494)*((Data!$B$2:$B$53 + Settings!$B$4/24) &gt; A494))&gt;0)</f>
        <v>0</v>
      </c>
      <c r="D494">
        <f>--(SUMPRODUCT((Data!$C$2:$C$53="K12")*((Data!$A$2:$A$53 - Settings!$B$4/24) &lt;= A494)*((Data!$B$2:$B$53 + Settings!$B$4/24) &gt; A494))&gt;0)</f>
        <v>0</v>
      </c>
      <c r="E494">
        <f>--(SUMPRODUCT((Data!$C$2:$C$53="K12B")*((Data!$A$2:$A$53 - Settings!$B$4/24) &lt;= A494)*((Data!$B$2:$B$53 + Settings!$B$4/24) &gt; A494))&gt;0)</f>
        <v>0</v>
      </c>
      <c r="F494">
        <f>--(SUMPRODUCT((Data!$C$2:$C$53="TT2")*((Data!$A$2:$A$53 - Settings!$B$4/24) &lt;= A494)*((Data!$B$2:$B$53 + Settings!$B$4/24) &gt; A494))&gt;0)</f>
        <v>0</v>
      </c>
    </row>
    <row r="495" spans="1:6" ht="15.6" x14ac:dyDescent="0.3">
      <c r="A495" s="1">
        <v>45952.542013888888</v>
      </c>
      <c r="B495">
        <f>--(SUMPRODUCT((Data!$C$2:$C$53="K12C")*((Data!$A$2:$A$53 - Settings!$B$4/24) &lt;= A495)*((Data!$B$2:$B$53 + Settings!$B$4/24) &gt; A495))&gt;0)</f>
        <v>0</v>
      </c>
      <c r="C495">
        <f>--(SUMPRODUCT((Data!$C$2:$C$53="K12A")*((Data!$A$2:$A$53 - Settings!$B$4/24) &lt;= A495)*((Data!$B$2:$B$53 + Settings!$B$4/24) &gt; A495))&gt;0)</f>
        <v>0</v>
      </c>
      <c r="D495">
        <f>--(SUMPRODUCT((Data!$C$2:$C$53="K12")*((Data!$A$2:$A$53 - Settings!$B$4/24) &lt;= A495)*((Data!$B$2:$B$53 + Settings!$B$4/24) &gt; A495))&gt;0)</f>
        <v>0</v>
      </c>
      <c r="E495">
        <f>--(SUMPRODUCT((Data!$C$2:$C$53="K12B")*((Data!$A$2:$A$53 - Settings!$B$4/24) &lt;= A495)*((Data!$B$2:$B$53 + Settings!$B$4/24) &gt; A495))&gt;0)</f>
        <v>0</v>
      </c>
      <c r="F495">
        <f>--(SUMPRODUCT((Data!$C$2:$C$53="TT2")*((Data!$A$2:$A$53 - Settings!$B$4/24) &lt;= A495)*((Data!$B$2:$B$53 + Settings!$B$4/24) &gt; A495))&gt;0)</f>
        <v>0</v>
      </c>
    </row>
    <row r="496" spans="1:6" ht="15.6" x14ac:dyDescent="0.3">
      <c r="A496" s="1">
        <v>45952.583680555559</v>
      </c>
      <c r="B496">
        <f>--(SUMPRODUCT((Data!$C$2:$C$53="K12C")*((Data!$A$2:$A$53 - Settings!$B$4/24) &lt;= A496)*((Data!$B$2:$B$53 + Settings!$B$4/24) &gt; A496))&gt;0)</f>
        <v>0</v>
      </c>
      <c r="C496">
        <f>--(SUMPRODUCT((Data!$C$2:$C$53="K12A")*((Data!$A$2:$A$53 - Settings!$B$4/24) &lt;= A496)*((Data!$B$2:$B$53 + Settings!$B$4/24) &gt; A496))&gt;0)</f>
        <v>0</v>
      </c>
      <c r="D496">
        <f>--(SUMPRODUCT((Data!$C$2:$C$53="K12")*((Data!$A$2:$A$53 - Settings!$B$4/24) &lt;= A496)*((Data!$B$2:$B$53 + Settings!$B$4/24) &gt; A496))&gt;0)</f>
        <v>0</v>
      </c>
      <c r="E496">
        <f>--(SUMPRODUCT((Data!$C$2:$C$53="K12B")*((Data!$A$2:$A$53 - Settings!$B$4/24) &lt;= A496)*((Data!$B$2:$B$53 + Settings!$B$4/24) &gt; A496))&gt;0)</f>
        <v>0</v>
      </c>
      <c r="F496">
        <f>--(SUMPRODUCT((Data!$C$2:$C$53="TT2")*((Data!$A$2:$A$53 - Settings!$B$4/24) &lt;= A496)*((Data!$B$2:$B$53 + Settings!$B$4/24) &gt; A496))&gt;0)</f>
        <v>0</v>
      </c>
    </row>
    <row r="497" spans="1:6" ht="15.6" x14ac:dyDescent="0.3">
      <c r="A497" s="1">
        <v>45952.625347222223</v>
      </c>
      <c r="B497">
        <f>--(SUMPRODUCT((Data!$C$2:$C$53="K12C")*((Data!$A$2:$A$53 - Settings!$B$4/24) &lt;= A497)*((Data!$B$2:$B$53 + Settings!$B$4/24) &gt; A497))&gt;0)</f>
        <v>0</v>
      </c>
      <c r="C497">
        <f>--(SUMPRODUCT((Data!$C$2:$C$53="K12A")*((Data!$A$2:$A$53 - Settings!$B$4/24) &lt;= A497)*((Data!$B$2:$B$53 + Settings!$B$4/24) &gt; A497))&gt;0)</f>
        <v>0</v>
      </c>
      <c r="D497">
        <f>--(SUMPRODUCT((Data!$C$2:$C$53="K12")*((Data!$A$2:$A$53 - Settings!$B$4/24) &lt;= A497)*((Data!$B$2:$B$53 + Settings!$B$4/24) &gt; A497))&gt;0)</f>
        <v>0</v>
      </c>
      <c r="E497">
        <f>--(SUMPRODUCT((Data!$C$2:$C$53="K12B")*((Data!$A$2:$A$53 - Settings!$B$4/24) &lt;= A497)*((Data!$B$2:$B$53 + Settings!$B$4/24) &gt; A497))&gt;0)</f>
        <v>0</v>
      </c>
      <c r="F497">
        <f>--(SUMPRODUCT((Data!$C$2:$C$53="TT2")*((Data!$A$2:$A$53 - Settings!$B$4/24) &lt;= A497)*((Data!$B$2:$B$53 + Settings!$B$4/24) &gt; A497))&gt;0)</f>
        <v>0</v>
      </c>
    </row>
    <row r="498" spans="1:6" ht="15.6" x14ac:dyDescent="0.3">
      <c r="A498" s="1">
        <v>45952.667013888888</v>
      </c>
      <c r="B498">
        <f>--(SUMPRODUCT((Data!$C$2:$C$53="K12C")*((Data!$A$2:$A$53 - Settings!$B$4/24) &lt;= A498)*((Data!$B$2:$B$53 + Settings!$B$4/24) &gt; A498))&gt;0)</f>
        <v>0</v>
      </c>
      <c r="C498">
        <f>--(SUMPRODUCT((Data!$C$2:$C$53="K12A")*((Data!$A$2:$A$53 - Settings!$B$4/24) &lt;= A498)*((Data!$B$2:$B$53 + Settings!$B$4/24) &gt; A498))&gt;0)</f>
        <v>0</v>
      </c>
      <c r="D498">
        <f>--(SUMPRODUCT((Data!$C$2:$C$53="K12")*((Data!$A$2:$A$53 - Settings!$B$4/24) &lt;= A498)*((Data!$B$2:$B$53 + Settings!$B$4/24) &gt; A498))&gt;0)</f>
        <v>0</v>
      </c>
      <c r="E498">
        <f>--(SUMPRODUCT((Data!$C$2:$C$53="K12B")*((Data!$A$2:$A$53 - Settings!$B$4/24) &lt;= A498)*((Data!$B$2:$B$53 + Settings!$B$4/24) &gt; A498))&gt;0)</f>
        <v>0</v>
      </c>
      <c r="F498">
        <f>--(SUMPRODUCT((Data!$C$2:$C$53="TT2")*((Data!$A$2:$A$53 - Settings!$B$4/24) &lt;= A498)*((Data!$B$2:$B$53 + Settings!$B$4/24) &gt; A498))&gt;0)</f>
        <v>0</v>
      </c>
    </row>
    <row r="499" spans="1:6" ht="15.6" x14ac:dyDescent="0.3">
      <c r="A499" s="1">
        <v>45952.708680555559</v>
      </c>
      <c r="B499">
        <f>--(SUMPRODUCT((Data!$C$2:$C$53="K12C")*((Data!$A$2:$A$53 - Settings!$B$4/24) &lt;= A499)*((Data!$B$2:$B$53 + Settings!$B$4/24) &gt; A499))&gt;0)</f>
        <v>0</v>
      </c>
      <c r="C499">
        <f>--(SUMPRODUCT((Data!$C$2:$C$53="K12A")*((Data!$A$2:$A$53 - Settings!$B$4/24) &lt;= A499)*((Data!$B$2:$B$53 + Settings!$B$4/24) &gt; A499))&gt;0)</f>
        <v>0</v>
      </c>
      <c r="D499">
        <f>--(SUMPRODUCT((Data!$C$2:$C$53="K12")*((Data!$A$2:$A$53 - Settings!$B$4/24) &lt;= A499)*((Data!$B$2:$B$53 + Settings!$B$4/24) &gt; A499))&gt;0)</f>
        <v>0</v>
      </c>
      <c r="E499">
        <f>--(SUMPRODUCT((Data!$C$2:$C$53="K12B")*((Data!$A$2:$A$53 - Settings!$B$4/24) &lt;= A499)*((Data!$B$2:$B$53 + Settings!$B$4/24) &gt; A499))&gt;0)</f>
        <v>0</v>
      </c>
      <c r="F499">
        <f>--(SUMPRODUCT((Data!$C$2:$C$53="TT2")*((Data!$A$2:$A$53 - Settings!$B$4/24) &lt;= A499)*((Data!$B$2:$B$53 + Settings!$B$4/24) &gt; A499))&gt;0)</f>
        <v>0</v>
      </c>
    </row>
    <row r="500" spans="1:6" ht="15.6" x14ac:dyDescent="0.3">
      <c r="A500" s="1">
        <v>45952.750347222223</v>
      </c>
      <c r="B500">
        <f>--(SUMPRODUCT((Data!$C$2:$C$53="K12C")*((Data!$A$2:$A$53 - Settings!$B$4/24) &lt;= A500)*((Data!$B$2:$B$53 + Settings!$B$4/24) &gt; A500))&gt;0)</f>
        <v>0</v>
      </c>
      <c r="C500">
        <f>--(SUMPRODUCT((Data!$C$2:$C$53="K12A")*((Data!$A$2:$A$53 - Settings!$B$4/24) &lt;= A500)*((Data!$B$2:$B$53 + Settings!$B$4/24) &gt; A500))&gt;0)</f>
        <v>1</v>
      </c>
      <c r="D500">
        <f>--(SUMPRODUCT((Data!$C$2:$C$53="K12")*((Data!$A$2:$A$53 - Settings!$B$4/24) &lt;= A500)*((Data!$B$2:$B$53 + Settings!$B$4/24) &gt; A500))&gt;0)</f>
        <v>0</v>
      </c>
      <c r="E500">
        <f>--(SUMPRODUCT((Data!$C$2:$C$53="K12B")*((Data!$A$2:$A$53 - Settings!$B$4/24) &lt;= A500)*((Data!$B$2:$B$53 + Settings!$B$4/24) &gt; A500))&gt;0)</f>
        <v>0</v>
      </c>
      <c r="F500">
        <f>--(SUMPRODUCT((Data!$C$2:$C$53="TT2")*((Data!$A$2:$A$53 - Settings!$B$4/24) &lt;= A500)*((Data!$B$2:$B$53 + Settings!$B$4/24) &gt; A500))&gt;0)</f>
        <v>0</v>
      </c>
    </row>
    <row r="501" spans="1:6" ht="15.6" x14ac:dyDescent="0.3">
      <c r="A501" s="1">
        <v>45952.792013888888</v>
      </c>
      <c r="B501">
        <f>--(SUMPRODUCT((Data!$C$2:$C$53="K12C")*((Data!$A$2:$A$53 - Settings!$B$4/24) &lt;= A501)*((Data!$B$2:$B$53 + Settings!$B$4/24) &gt; A501))&gt;0)</f>
        <v>0</v>
      </c>
      <c r="C501">
        <f>--(SUMPRODUCT((Data!$C$2:$C$53="K12A")*((Data!$A$2:$A$53 - Settings!$B$4/24) &lt;= A501)*((Data!$B$2:$B$53 + Settings!$B$4/24) &gt; A501))&gt;0)</f>
        <v>1</v>
      </c>
      <c r="D501">
        <f>--(SUMPRODUCT((Data!$C$2:$C$53="K12")*((Data!$A$2:$A$53 - Settings!$B$4/24) &lt;= A501)*((Data!$B$2:$B$53 + Settings!$B$4/24) &gt; A501))&gt;0)</f>
        <v>0</v>
      </c>
      <c r="E501">
        <f>--(SUMPRODUCT((Data!$C$2:$C$53="K12B")*((Data!$A$2:$A$53 - Settings!$B$4/24) &lt;= A501)*((Data!$B$2:$B$53 + Settings!$B$4/24) &gt; A501))&gt;0)</f>
        <v>0</v>
      </c>
      <c r="F501">
        <f>--(SUMPRODUCT((Data!$C$2:$C$53="TT2")*((Data!$A$2:$A$53 - Settings!$B$4/24) &lt;= A501)*((Data!$B$2:$B$53 + Settings!$B$4/24) &gt; A501))&gt;0)</f>
        <v>0</v>
      </c>
    </row>
    <row r="502" spans="1:6" ht="15.6" x14ac:dyDescent="0.3">
      <c r="A502" s="1">
        <v>45952.833680555559</v>
      </c>
      <c r="B502">
        <f>--(SUMPRODUCT((Data!$C$2:$C$53="K12C")*((Data!$A$2:$A$53 - Settings!$B$4/24) &lt;= A502)*((Data!$B$2:$B$53 + Settings!$B$4/24) &gt; A502))&gt;0)</f>
        <v>0</v>
      </c>
      <c r="C502">
        <f>--(SUMPRODUCT((Data!$C$2:$C$53="K12A")*((Data!$A$2:$A$53 - Settings!$B$4/24) &lt;= A502)*((Data!$B$2:$B$53 + Settings!$B$4/24) &gt; A502))&gt;0)</f>
        <v>1</v>
      </c>
      <c r="D502">
        <f>--(SUMPRODUCT((Data!$C$2:$C$53="K12")*((Data!$A$2:$A$53 - Settings!$B$4/24) &lt;= A502)*((Data!$B$2:$B$53 + Settings!$B$4/24) &gt; A502))&gt;0)</f>
        <v>0</v>
      </c>
      <c r="E502">
        <f>--(SUMPRODUCT((Data!$C$2:$C$53="K12B")*((Data!$A$2:$A$53 - Settings!$B$4/24) &lt;= A502)*((Data!$B$2:$B$53 + Settings!$B$4/24) &gt; A502))&gt;0)</f>
        <v>0</v>
      </c>
      <c r="F502">
        <f>--(SUMPRODUCT((Data!$C$2:$C$53="TT2")*((Data!$A$2:$A$53 - Settings!$B$4/24) &lt;= A502)*((Data!$B$2:$B$53 + Settings!$B$4/24) &gt; A502))&gt;0)</f>
        <v>0</v>
      </c>
    </row>
    <row r="503" spans="1:6" ht="15.6" x14ac:dyDescent="0.3">
      <c r="A503" s="1">
        <v>45952.875347222223</v>
      </c>
      <c r="B503">
        <f>--(SUMPRODUCT((Data!$C$2:$C$53="K12C")*((Data!$A$2:$A$53 - Settings!$B$4/24) &lt;= A503)*((Data!$B$2:$B$53 + Settings!$B$4/24) &gt; A503))&gt;0)</f>
        <v>0</v>
      </c>
      <c r="C503">
        <f>--(SUMPRODUCT((Data!$C$2:$C$53="K12A")*((Data!$A$2:$A$53 - Settings!$B$4/24) &lt;= A503)*((Data!$B$2:$B$53 + Settings!$B$4/24) &gt; A503))&gt;0)</f>
        <v>1</v>
      </c>
      <c r="D503">
        <f>--(SUMPRODUCT((Data!$C$2:$C$53="K12")*((Data!$A$2:$A$53 - Settings!$B$4/24) &lt;= A503)*((Data!$B$2:$B$53 + Settings!$B$4/24) &gt; A503))&gt;0)</f>
        <v>0</v>
      </c>
      <c r="E503">
        <f>--(SUMPRODUCT((Data!$C$2:$C$53="K12B")*((Data!$A$2:$A$53 - Settings!$B$4/24) &lt;= A503)*((Data!$B$2:$B$53 + Settings!$B$4/24) &gt; A503))&gt;0)</f>
        <v>0</v>
      </c>
      <c r="F503">
        <f>--(SUMPRODUCT((Data!$C$2:$C$53="TT2")*((Data!$A$2:$A$53 - Settings!$B$4/24) &lt;= A503)*((Data!$B$2:$B$53 + Settings!$B$4/24) &gt; A503))&gt;0)</f>
        <v>0</v>
      </c>
    </row>
    <row r="504" spans="1:6" ht="15.6" x14ac:dyDescent="0.3">
      <c r="A504" s="1">
        <v>45952.917013888888</v>
      </c>
      <c r="B504">
        <f>--(SUMPRODUCT((Data!$C$2:$C$53="K12C")*((Data!$A$2:$A$53 - Settings!$B$4/24) &lt;= A504)*((Data!$B$2:$B$53 + Settings!$B$4/24) &gt; A504))&gt;0)</f>
        <v>0</v>
      </c>
      <c r="C504">
        <f>--(SUMPRODUCT((Data!$C$2:$C$53="K12A")*((Data!$A$2:$A$53 - Settings!$B$4/24) &lt;= A504)*((Data!$B$2:$B$53 + Settings!$B$4/24) &gt; A504))&gt;0)</f>
        <v>1</v>
      </c>
      <c r="D504">
        <f>--(SUMPRODUCT((Data!$C$2:$C$53="K12")*((Data!$A$2:$A$53 - Settings!$B$4/24) &lt;= A504)*((Data!$B$2:$B$53 + Settings!$B$4/24) &gt; A504))&gt;0)</f>
        <v>0</v>
      </c>
      <c r="E504">
        <f>--(SUMPRODUCT((Data!$C$2:$C$53="K12B")*((Data!$A$2:$A$53 - Settings!$B$4/24) &lt;= A504)*((Data!$B$2:$B$53 + Settings!$B$4/24) &gt; A504))&gt;0)</f>
        <v>0</v>
      </c>
      <c r="F504">
        <f>--(SUMPRODUCT((Data!$C$2:$C$53="TT2")*((Data!$A$2:$A$53 - Settings!$B$4/24) &lt;= A504)*((Data!$B$2:$B$53 + Settings!$B$4/24) &gt; A504))&gt;0)</f>
        <v>0</v>
      </c>
    </row>
    <row r="505" spans="1:6" ht="15.6" x14ac:dyDescent="0.3">
      <c r="A505" s="1">
        <v>45952.958680555559</v>
      </c>
      <c r="B505">
        <f>--(SUMPRODUCT((Data!$C$2:$C$53="K12C")*((Data!$A$2:$A$53 - Settings!$B$4/24) &lt;= A505)*((Data!$B$2:$B$53 + Settings!$B$4/24) &gt; A505))&gt;0)</f>
        <v>0</v>
      </c>
      <c r="C505">
        <f>--(SUMPRODUCT((Data!$C$2:$C$53="K12A")*((Data!$A$2:$A$53 - Settings!$B$4/24) &lt;= A505)*((Data!$B$2:$B$53 + Settings!$B$4/24) &gt; A505))&gt;0)</f>
        <v>1</v>
      </c>
      <c r="D505">
        <f>--(SUMPRODUCT((Data!$C$2:$C$53="K12")*((Data!$A$2:$A$53 - Settings!$B$4/24) &lt;= A505)*((Data!$B$2:$B$53 + Settings!$B$4/24) &gt; A505))&gt;0)</f>
        <v>0</v>
      </c>
      <c r="E505">
        <f>--(SUMPRODUCT((Data!$C$2:$C$53="K12B")*((Data!$A$2:$A$53 - Settings!$B$4/24) &lt;= A505)*((Data!$B$2:$B$53 + Settings!$B$4/24) &gt; A505))&gt;0)</f>
        <v>0</v>
      </c>
      <c r="F505">
        <f>--(SUMPRODUCT((Data!$C$2:$C$53="TT2")*((Data!$A$2:$A$53 - Settings!$B$4/24) &lt;= A505)*((Data!$B$2:$B$53 + Settings!$B$4/24) &gt; A505))&gt;0)</f>
        <v>0</v>
      </c>
    </row>
    <row r="506" spans="1:6" ht="15.6" x14ac:dyDescent="0.3">
      <c r="A506" s="1">
        <v>45953.000347222223</v>
      </c>
      <c r="B506">
        <f>--(SUMPRODUCT((Data!$C$2:$C$53="K12C")*((Data!$A$2:$A$53 - Settings!$B$4/24) &lt;= A506)*((Data!$B$2:$B$53 + Settings!$B$4/24) &gt; A506))&gt;0)</f>
        <v>0</v>
      </c>
      <c r="C506">
        <f>--(SUMPRODUCT((Data!$C$2:$C$53="K12A")*((Data!$A$2:$A$53 - Settings!$B$4/24) &lt;= A506)*((Data!$B$2:$B$53 + Settings!$B$4/24) &gt; A506))&gt;0)</f>
        <v>1</v>
      </c>
      <c r="D506">
        <f>--(SUMPRODUCT((Data!$C$2:$C$53="K12")*((Data!$A$2:$A$53 - Settings!$B$4/24) &lt;= A506)*((Data!$B$2:$B$53 + Settings!$B$4/24) &gt; A506))&gt;0)</f>
        <v>0</v>
      </c>
      <c r="E506">
        <f>--(SUMPRODUCT((Data!$C$2:$C$53="K12B")*((Data!$A$2:$A$53 - Settings!$B$4/24) &lt;= A506)*((Data!$B$2:$B$53 + Settings!$B$4/24) &gt; A506))&gt;0)</f>
        <v>0</v>
      </c>
      <c r="F506">
        <f>--(SUMPRODUCT((Data!$C$2:$C$53="TT2")*((Data!$A$2:$A$53 - Settings!$B$4/24) &lt;= A506)*((Data!$B$2:$B$53 + Settings!$B$4/24) &gt; A506))&gt;0)</f>
        <v>0</v>
      </c>
    </row>
    <row r="507" spans="1:6" ht="15.6" x14ac:dyDescent="0.3">
      <c r="A507" s="1">
        <v>45953.042013888888</v>
      </c>
      <c r="B507">
        <f>--(SUMPRODUCT((Data!$C$2:$C$53="K12C")*((Data!$A$2:$A$53 - Settings!$B$4/24) &lt;= A507)*((Data!$B$2:$B$53 + Settings!$B$4/24) &gt; A507))&gt;0)</f>
        <v>0</v>
      </c>
      <c r="C507">
        <f>--(SUMPRODUCT((Data!$C$2:$C$53="K12A")*((Data!$A$2:$A$53 - Settings!$B$4/24) &lt;= A507)*((Data!$B$2:$B$53 + Settings!$B$4/24) &gt; A507))&gt;0)</f>
        <v>1</v>
      </c>
      <c r="D507">
        <f>--(SUMPRODUCT((Data!$C$2:$C$53="K12")*((Data!$A$2:$A$53 - Settings!$B$4/24) &lt;= A507)*((Data!$B$2:$B$53 + Settings!$B$4/24) &gt; A507))&gt;0)</f>
        <v>0</v>
      </c>
      <c r="E507">
        <f>--(SUMPRODUCT((Data!$C$2:$C$53="K12B")*((Data!$A$2:$A$53 - Settings!$B$4/24) &lt;= A507)*((Data!$B$2:$B$53 + Settings!$B$4/24) &gt; A507))&gt;0)</f>
        <v>0</v>
      </c>
      <c r="F507">
        <f>--(SUMPRODUCT((Data!$C$2:$C$53="TT2")*((Data!$A$2:$A$53 - Settings!$B$4/24) &lt;= A507)*((Data!$B$2:$B$53 + Settings!$B$4/24) &gt; A507))&gt;0)</f>
        <v>0</v>
      </c>
    </row>
    <row r="508" spans="1:6" ht="15.6" x14ac:dyDescent="0.3">
      <c r="A508" s="1">
        <v>45953.083680555559</v>
      </c>
      <c r="B508">
        <f>--(SUMPRODUCT((Data!$C$2:$C$53="K12C")*((Data!$A$2:$A$53 - Settings!$B$4/24) &lt;= A508)*((Data!$B$2:$B$53 + Settings!$B$4/24) &gt; A508))&gt;0)</f>
        <v>0</v>
      </c>
      <c r="C508">
        <f>--(SUMPRODUCT((Data!$C$2:$C$53="K12A")*((Data!$A$2:$A$53 - Settings!$B$4/24) &lt;= A508)*((Data!$B$2:$B$53 + Settings!$B$4/24) &gt; A508))&gt;0)</f>
        <v>1</v>
      </c>
      <c r="D508">
        <f>--(SUMPRODUCT((Data!$C$2:$C$53="K12")*((Data!$A$2:$A$53 - Settings!$B$4/24) &lt;= A508)*((Data!$B$2:$B$53 + Settings!$B$4/24) &gt; A508))&gt;0)</f>
        <v>0</v>
      </c>
      <c r="E508">
        <f>--(SUMPRODUCT((Data!$C$2:$C$53="K12B")*((Data!$A$2:$A$53 - Settings!$B$4/24) &lt;= A508)*((Data!$B$2:$B$53 + Settings!$B$4/24) &gt; A508))&gt;0)</f>
        <v>0</v>
      </c>
      <c r="F508">
        <f>--(SUMPRODUCT((Data!$C$2:$C$53="TT2")*((Data!$A$2:$A$53 - Settings!$B$4/24) &lt;= A508)*((Data!$B$2:$B$53 + Settings!$B$4/24) &gt; A508))&gt;0)</f>
        <v>0</v>
      </c>
    </row>
    <row r="509" spans="1:6" ht="15.6" x14ac:dyDescent="0.3">
      <c r="A509" s="1">
        <v>45953.125347222223</v>
      </c>
      <c r="B509">
        <f>--(SUMPRODUCT((Data!$C$2:$C$53="K12C")*((Data!$A$2:$A$53 - Settings!$B$4/24) &lt;= A509)*((Data!$B$2:$B$53 + Settings!$B$4/24) &gt; A509))&gt;0)</f>
        <v>0</v>
      </c>
      <c r="C509">
        <f>--(SUMPRODUCT((Data!$C$2:$C$53="K12A")*((Data!$A$2:$A$53 - Settings!$B$4/24) &lt;= A509)*((Data!$B$2:$B$53 + Settings!$B$4/24) &gt; A509))&gt;0)</f>
        <v>1</v>
      </c>
      <c r="D509">
        <f>--(SUMPRODUCT((Data!$C$2:$C$53="K12")*((Data!$A$2:$A$53 - Settings!$B$4/24) &lt;= A509)*((Data!$B$2:$B$53 + Settings!$B$4/24) &gt; A509))&gt;0)</f>
        <v>0</v>
      </c>
      <c r="E509">
        <f>--(SUMPRODUCT((Data!$C$2:$C$53="K12B")*((Data!$A$2:$A$53 - Settings!$B$4/24) &lt;= A509)*((Data!$B$2:$B$53 + Settings!$B$4/24) &gt; A509))&gt;0)</f>
        <v>0</v>
      </c>
      <c r="F509">
        <f>--(SUMPRODUCT((Data!$C$2:$C$53="TT2")*((Data!$A$2:$A$53 - Settings!$B$4/24) &lt;= A509)*((Data!$B$2:$B$53 + Settings!$B$4/24) &gt; A509))&gt;0)</f>
        <v>0</v>
      </c>
    </row>
    <row r="510" spans="1:6" ht="15.6" x14ac:dyDescent="0.3">
      <c r="A510" s="1">
        <v>45953.167013888888</v>
      </c>
      <c r="B510">
        <f>--(SUMPRODUCT((Data!$C$2:$C$53="K12C")*((Data!$A$2:$A$53 - Settings!$B$4/24) &lt;= A510)*((Data!$B$2:$B$53 + Settings!$B$4/24) &gt; A510))&gt;0)</f>
        <v>0</v>
      </c>
      <c r="C510">
        <f>--(SUMPRODUCT((Data!$C$2:$C$53="K12A")*((Data!$A$2:$A$53 - Settings!$B$4/24) &lt;= A510)*((Data!$B$2:$B$53 + Settings!$B$4/24) &gt; A510))&gt;0)</f>
        <v>1</v>
      </c>
      <c r="D510">
        <f>--(SUMPRODUCT((Data!$C$2:$C$53="K12")*((Data!$A$2:$A$53 - Settings!$B$4/24) &lt;= A510)*((Data!$B$2:$B$53 + Settings!$B$4/24) &gt; A510))&gt;0)</f>
        <v>0</v>
      </c>
      <c r="E510">
        <f>--(SUMPRODUCT((Data!$C$2:$C$53="K12B")*((Data!$A$2:$A$53 - Settings!$B$4/24) &lt;= A510)*((Data!$B$2:$B$53 + Settings!$B$4/24) &gt; A510))&gt;0)</f>
        <v>0</v>
      </c>
      <c r="F510">
        <f>--(SUMPRODUCT((Data!$C$2:$C$53="TT2")*((Data!$A$2:$A$53 - Settings!$B$4/24) &lt;= A510)*((Data!$B$2:$B$53 + Settings!$B$4/24) &gt; A510))&gt;0)</f>
        <v>0</v>
      </c>
    </row>
    <row r="511" spans="1:6" ht="15.6" x14ac:dyDescent="0.3">
      <c r="A511" s="1">
        <v>45953.208680555559</v>
      </c>
      <c r="B511">
        <f>--(SUMPRODUCT((Data!$C$2:$C$53="K12C")*((Data!$A$2:$A$53 - Settings!$B$4/24) &lt;= A511)*((Data!$B$2:$B$53 + Settings!$B$4/24) &gt; A511))&gt;0)</f>
        <v>0</v>
      </c>
      <c r="C511">
        <f>--(SUMPRODUCT((Data!$C$2:$C$53="K12A")*((Data!$A$2:$A$53 - Settings!$B$4/24) &lt;= A511)*((Data!$B$2:$B$53 + Settings!$B$4/24) &gt; A511))&gt;0)</f>
        <v>1</v>
      </c>
      <c r="D511">
        <f>--(SUMPRODUCT((Data!$C$2:$C$53="K12")*((Data!$A$2:$A$53 - Settings!$B$4/24) &lt;= A511)*((Data!$B$2:$B$53 + Settings!$B$4/24) &gt; A511))&gt;0)</f>
        <v>0</v>
      </c>
      <c r="E511">
        <f>--(SUMPRODUCT((Data!$C$2:$C$53="K12B")*((Data!$A$2:$A$53 - Settings!$B$4/24) &lt;= A511)*((Data!$B$2:$B$53 + Settings!$B$4/24) &gt; A511))&gt;0)</f>
        <v>0</v>
      </c>
      <c r="F511">
        <f>--(SUMPRODUCT((Data!$C$2:$C$53="TT2")*((Data!$A$2:$A$53 - Settings!$B$4/24) &lt;= A511)*((Data!$B$2:$B$53 + Settings!$B$4/24) &gt; A511))&gt;0)</f>
        <v>0</v>
      </c>
    </row>
    <row r="512" spans="1:6" ht="15.6" x14ac:dyDescent="0.3">
      <c r="A512" s="1">
        <v>45953.250347222223</v>
      </c>
      <c r="B512">
        <f>--(SUMPRODUCT((Data!$C$2:$C$53="K12C")*((Data!$A$2:$A$53 - Settings!$B$4/24) &lt;= A512)*((Data!$B$2:$B$53 + Settings!$B$4/24) &gt; A512))&gt;0)</f>
        <v>0</v>
      </c>
      <c r="C512">
        <f>--(SUMPRODUCT((Data!$C$2:$C$53="K12A")*((Data!$A$2:$A$53 - Settings!$B$4/24) &lt;= A512)*((Data!$B$2:$B$53 + Settings!$B$4/24) &gt; A512))&gt;0)</f>
        <v>1</v>
      </c>
      <c r="D512">
        <f>--(SUMPRODUCT((Data!$C$2:$C$53="K12")*((Data!$A$2:$A$53 - Settings!$B$4/24) &lt;= A512)*((Data!$B$2:$B$53 + Settings!$B$4/24) &gt; A512))&gt;0)</f>
        <v>0</v>
      </c>
      <c r="E512">
        <f>--(SUMPRODUCT((Data!$C$2:$C$53="K12B")*((Data!$A$2:$A$53 - Settings!$B$4/24) &lt;= A512)*((Data!$B$2:$B$53 + Settings!$B$4/24) &gt; A512))&gt;0)</f>
        <v>0</v>
      </c>
      <c r="F512">
        <f>--(SUMPRODUCT((Data!$C$2:$C$53="TT2")*((Data!$A$2:$A$53 - Settings!$B$4/24) &lt;= A512)*((Data!$B$2:$B$53 + Settings!$B$4/24) &gt; A512))&gt;0)</f>
        <v>0</v>
      </c>
    </row>
    <row r="513" spans="1:6" ht="15.6" x14ac:dyDescent="0.3">
      <c r="A513" s="1">
        <v>45953.292013888888</v>
      </c>
      <c r="B513">
        <f>--(SUMPRODUCT((Data!$C$2:$C$53="K12C")*((Data!$A$2:$A$53 - Settings!$B$4/24) &lt;= A513)*((Data!$B$2:$B$53 + Settings!$B$4/24) &gt; A513))&gt;0)</f>
        <v>0</v>
      </c>
      <c r="C513">
        <f>--(SUMPRODUCT((Data!$C$2:$C$53="K12A")*((Data!$A$2:$A$53 - Settings!$B$4/24) &lt;= A513)*((Data!$B$2:$B$53 + Settings!$B$4/24) &gt; A513))&gt;0)</f>
        <v>1</v>
      </c>
      <c r="D513">
        <f>--(SUMPRODUCT((Data!$C$2:$C$53="K12")*((Data!$A$2:$A$53 - Settings!$B$4/24) &lt;= A513)*((Data!$B$2:$B$53 + Settings!$B$4/24) &gt; A513))&gt;0)</f>
        <v>0</v>
      </c>
      <c r="E513">
        <f>--(SUMPRODUCT((Data!$C$2:$C$53="K12B")*((Data!$A$2:$A$53 - Settings!$B$4/24) &lt;= A513)*((Data!$B$2:$B$53 + Settings!$B$4/24) &gt; A513))&gt;0)</f>
        <v>0</v>
      </c>
      <c r="F513">
        <f>--(SUMPRODUCT((Data!$C$2:$C$53="TT2")*((Data!$A$2:$A$53 - Settings!$B$4/24) &lt;= A513)*((Data!$B$2:$B$53 + Settings!$B$4/24) &gt; A513))&gt;0)</f>
        <v>0</v>
      </c>
    </row>
    <row r="514" spans="1:6" ht="15.6" x14ac:dyDescent="0.3">
      <c r="A514" s="1">
        <v>45953.333680555559</v>
      </c>
      <c r="B514">
        <f>--(SUMPRODUCT((Data!$C$2:$C$53="K12C")*((Data!$A$2:$A$53 - Settings!$B$4/24) &lt;= A514)*((Data!$B$2:$B$53 + Settings!$B$4/24) &gt; A514))&gt;0)</f>
        <v>0</v>
      </c>
      <c r="C514">
        <f>--(SUMPRODUCT((Data!$C$2:$C$53="K12A")*((Data!$A$2:$A$53 - Settings!$B$4/24) &lt;= A514)*((Data!$B$2:$B$53 + Settings!$B$4/24) &gt; A514))&gt;0)</f>
        <v>1</v>
      </c>
      <c r="D514">
        <f>--(SUMPRODUCT((Data!$C$2:$C$53="K12")*((Data!$A$2:$A$53 - Settings!$B$4/24) &lt;= A514)*((Data!$B$2:$B$53 + Settings!$B$4/24) &gt; A514))&gt;0)</f>
        <v>0</v>
      </c>
      <c r="E514">
        <f>--(SUMPRODUCT((Data!$C$2:$C$53="K12B")*((Data!$A$2:$A$53 - Settings!$B$4/24) &lt;= A514)*((Data!$B$2:$B$53 + Settings!$B$4/24) &gt; A514))&gt;0)</f>
        <v>0</v>
      </c>
      <c r="F514">
        <f>--(SUMPRODUCT((Data!$C$2:$C$53="TT2")*((Data!$A$2:$A$53 - Settings!$B$4/24) &lt;= A514)*((Data!$B$2:$B$53 + Settings!$B$4/24) &gt; A514))&gt;0)</f>
        <v>0</v>
      </c>
    </row>
    <row r="515" spans="1:6" ht="15.6" x14ac:dyDescent="0.3">
      <c r="A515" s="1">
        <v>45953.375347222223</v>
      </c>
      <c r="B515">
        <f>--(SUMPRODUCT((Data!$C$2:$C$53="K12C")*((Data!$A$2:$A$53 - Settings!$B$4/24) &lt;= A515)*((Data!$B$2:$B$53 + Settings!$B$4/24) &gt; A515))&gt;0)</f>
        <v>0</v>
      </c>
      <c r="C515">
        <f>--(SUMPRODUCT((Data!$C$2:$C$53="K12A")*((Data!$A$2:$A$53 - Settings!$B$4/24) &lt;= A515)*((Data!$B$2:$B$53 + Settings!$B$4/24) &gt; A515))&gt;0)</f>
        <v>1</v>
      </c>
      <c r="D515">
        <f>--(SUMPRODUCT((Data!$C$2:$C$53="K12")*((Data!$A$2:$A$53 - Settings!$B$4/24) &lt;= A515)*((Data!$B$2:$B$53 + Settings!$B$4/24) &gt; A515))&gt;0)</f>
        <v>0</v>
      </c>
      <c r="E515">
        <f>--(SUMPRODUCT((Data!$C$2:$C$53="K12B")*((Data!$A$2:$A$53 - Settings!$B$4/24) &lt;= A515)*((Data!$B$2:$B$53 + Settings!$B$4/24) &gt; A515))&gt;0)</f>
        <v>0</v>
      </c>
      <c r="F515">
        <f>--(SUMPRODUCT((Data!$C$2:$C$53="TT2")*((Data!$A$2:$A$53 - Settings!$B$4/24) &lt;= A515)*((Data!$B$2:$B$53 + Settings!$B$4/24) &gt; A515))&gt;0)</f>
        <v>0</v>
      </c>
    </row>
    <row r="516" spans="1:6" ht="15.6" x14ac:dyDescent="0.3">
      <c r="A516" s="1">
        <v>45953.417013888888</v>
      </c>
      <c r="B516">
        <f>--(SUMPRODUCT((Data!$C$2:$C$53="K12C")*((Data!$A$2:$A$53 - Settings!$B$4/24) &lt;= A516)*((Data!$B$2:$B$53 + Settings!$B$4/24) &gt; A516))&gt;0)</f>
        <v>0</v>
      </c>
      <c r="C516">
        <f>--(SUMPRODUCT((Data!$C$2:$C$53="K12A")*((Data!$A$2:$A$53 - Settings!$B$4/24) &lt;= A516)*((Data!$B$2:$B$53 + Settings!$B$4/24) &gt; A516))&gt;0)</f>
        <v>1</v>
      </c>
      <c r="D516">
        <f>--(SUMPRODUCT((Data!$C$2:$C$53="K12")*((Data!$A$2:$A$53 - Settings!$B$4/24) &lt;= A516)*((Data!$B$2:$B$53 + Settings!$B$4/24) &gt; A516))&gt;0)</f>
        <v>0</v>
      </c>
      <c r="E516">
        <f>--(SUMPRODUCT((Data!$C$2:$C$53="K12B")*((Data!$A$2:$A$53 - Settings!$B$4/24) &lt;= A516)*((Data!$B$2:$B$53 + Settings!$B$4/24) &gt; A516))&gt;0)</f>
        <v>0</v>
      </c>
      <c r="F516">
        <f>--(SUMPRODUCT((Data!$C$2:$C$53="TT2")*((Data!$A$2:$A$53 - Settings!$B$4/24) &lt;= A516)*((Data!$B$2:$B$53 + Settings!$B$4/24) &gt; A516))&gt;0)</f>
        <v>0</v>
      </c>
    </row>
    <row r="517" spans="1:6" ht="15.6" x14ac:dyDescent="0.3">
      <c r="A517" s="1">
        <v>45953.458680555559</v>
      </c>
      <c r="B517">
        <f>--(SUMPRODUCT((Data!$C$2:$C$53="K12C")*((Data!$A$2:$A$53 - Settings!$B$4/24) &lt;= A517)*((Data!$B$2:$B$53 + Settings!$B$4/24) &gt; A517))&gt;0)</f>
        <v>0</v>
      </c>
      <c r="C517">
        <f>--(SUMPRODUCT((Data!$C$2:$C$53="K12A")*((Data!$A$2:$A$53 - Settings!$B$4/24) &lt;= A517)*((Data!$B$2:$B$53 + Settings!$B$4/24) &gt; A517))&gt;0)</f>
        <v>1</v>
      </c>
      <c r="D517">
        <f>--(SUMPRODUCT((Data!$C$2:$C$53="K12")*((Data!$A$2:$A$53 - Settings!$B$4/24) &lt;= A517)*((Data!$B$2:$B$53 + Settings!$B$4/24) &gt; A517))&gt;0)</f>
        <v>0</v>
      </c>
      <c r="E517">
        <f>--(SUMPRODUCT((Data!$C$2:$C$53="K12B")*((Data!$A$2:$A$53 - Settings!$B$4/24) &lt;= A517)*((Data!$B$2:$B$53 + Settings!$B$4/24) &gt; A517))&gt;0)</f>
        <v>0</v>
      </c>
      <c r="F517">
        <f>--(SUMPRODUCT((Data!$C$2:$C$53="TT2")*((Data!$A$2:$A$53 - Settings!$B$4/24) &lt;= A517)*((Data!$B$2:$B$53 + Settings!$B$4/24) &gt; A517))&gt;0)</f>
        <v>0</v>
      </c>
    </row>
    <row r="518" spans="1:6" ht="15.6" x14ac:dyDescent="0.3">
      <c r="A518" s="1">
        <v>45953.500347222223</v>
      </c>
      <c r="B518">
        <f>--(SUMPRODUCT((Data!$C$2:$C$53="K12C")*((Data!$A$2:$A$53 - Settings!$B$4/24) &lt;= A518)*((Data!$B$2:$B$53 + Settings!$B$4/24) &gt; A518))&gt;0)</f>
        <v>0</v>
      </c>
      <c r="C518">
        <f>--(SUMPRODUCT((Data!$C$2:$C$53="K12A")*((Data!$A$2:$A$53 - Settings!$B$4/24) &lt;= A518)*((Data!$B$2:$B$53 + Settings!$B$4/24) &gt; A518))&gt;0)</f>
        <v>1</v>
      </c>
      <c r="D518">
        <f>--(SUMPRODUCT((Data!$C$2:$C$53="K12")*((Data!$A$2:$A$53 - Settings!$B$4/24) &lt;= A518)*((Data!$B$2:$B$53 + Settings!$B$4/24) &gt; A518))&gt;0)</f>
        <v>1</v>
      </c>
      <c r="E518">
        <f>--(SUMPRODUCT((Data!$C$2:$C$53="K12B")*((Data!$A$2:$A$53 - Settings!$B$4/24) &lt;= A518)*((Data!$B$2:$B$53 + Settings!$B$4/24) &gt; A518))&gt;0)</f>
        <v>0</v>
      </c>
      <c r="F518">
        <f>--(SUMPRODUCT((Data!$C$2:$C$53="TT2")*((Data!$A$2:$A$53 - Settings!$B$4/24) &lt;= A518)*((Data!$B$2:$B$53 + Settings!$B$4/24) &gt; A518))&gt;0)</f>
        <v>0</v>
      </c>
    </row>
    <row r="519" spans="1:6" ht="15.6" x14ac:dyDescent="0.3">
      <c r="A519" s="1">
        <v>45953.542013888888</v>
      </c>
      <c r="B519">
        <f>--(SUMPRODUCT((Data!$C$2:$C$53="K12C")*((Data!$A$2:$A$53 - Settings!$B$4/24) &lt;= A519)*((Data!$B$2:$B$53 + Settings!$B$4/24) &gt; A519))&gt;0)</f>
        <v>0</v>
      </c>
      <c r="C519">
        <f>--(SUMPRODUCT((Data!$C$2:$C$53="K12A")*((Data!$A$2:$A$53 - Settings!$B$4/24) &lt;= A519)*((Data!$B$2:$B$53 + Settings!$B$4/24) &gt; A519))&gt;0)</f>
        <v>1</v>
      </c>
      <c r="D519">
        <f>--(SUMPRODUCT((Data!$C$2:$C$53="K12")*((Data!$A$2:$A$53 - Settings!$B$4/24) &lt;= A519)*((Data!$B$2:$B$53 + Settings!$B$4/24) &gt; A519))&gt;0)</f>
        <v>1</v>
      </c>
      <c r="E519">
        <f>--(SUMPRODUCT((Data!$C$2:$C$53="K12B")*((Data!$A$2:$A$53 - Settings!$B$4/24) &lt;= A519)*((Data!$B$2:$B$53 + Settings!$B$4/24) &gt; A519))&gt;0)</f>
        <v>1</v>
      </c>
      <c r="F519">
        <f>--(SUMPRODUCT((Data!$C$2:$C$53="TT2")*((Data!$A$2:$A$53 - Settings!$B$4/24) &lt;= A519)*((Data!$B$2:$B$53 + Settings!$B$4/24) &gt; A519))&gt;0)</f>
        <v>0</v>
      </c>
    </row>
    <row r="520" spans="1:6" ht="15.6" x14ac:dyDescent="0.3">
      <c r="A520" s="1">
        <v>45953.583680555559</v>
      </c>
      <c r="B520">
        <f>--(SUMPRODUCT((Data!$C$2:$C$53="K12C")*((Data!$A$2:$A$53 - Settings!$B$4/24) &lt;= A520)*((Data!$B$2:$B$53 + Settings!$B$4/24) &gt; A520))&gt;0)</f>
        <v>0</v>
      </c>
      <c r="C520">
        <f>--(SUMPRODUCT((Data!$C$2:$C$53="K12A")*((Data!$A$2:$A$53 - Settings!$B$4/24) &lt;= A520)*((Data!$B$2:$B$53 + Settings!$B$4/24) &gt; A520))&gt;0)</f>
        <v>1</v>
      </c>
      <c r="D520">
        <f>--(SUMPRODUCT((Data!$C$2:$C$53="K12")*((Data!$A$2:$A$53 - Settings!$B$4/24) &lt;= A520)*((Data!$B$2:$B$53 + Settings!$B$4/24) &gt; A520))&gt;0)</f>
        <v>1</v>
      </c>
      <c r="E520">
        <f>--(SUMPRODUCT((Data!$C$2:$C$53="K12B")*((Data!$A$2:$A$53 - Settings!$B$4/24) &lt;= A520)*((Data!$B$2:$B$53 + Settings!$B$4/24) &gt; A520))&gt;0)</f>
        <v>1</v>
      </c>
      <c r="F520">
        <f>--(SUMPRODUCT((Data!$C$2:$C$53="TT2")*((Data!$A$2:$A$53 - Settings!$B$4/24) &lt;= A520)*((Data!$B$2:$B$53 + Settings!$B$4/24) &gt; A520))&gt;0)</f>
        <v>0</v>
      </c>
    </row>
    <row r="521" spans="1:6" ht="15.6" x14ac:dyDescent="0.3">
      <c r="A521" s="1">
        <v>45953.625347222223</v>
      </c>
      <c r="B521">
        <f>--(SUMPRODUCT((Data!$C$2:$C$53="K12C")*((Data!$A$2:$A$53 - Settings!$B$4/24) &lt;= A521)*((Data!$B$2:$B$53 + Settings!$B$4/24) &gt; A521))&gt;0)</f>
        <v>0</v>
      </c>
      <c r="C521">
        <f>--(SUMPRODUCT((Data!$C$2:$C$53="K12A")*((Data!$A$2:$A$53 - Settings!$B$4/24) &lt;= A521)*((Data!$B$2:$B$53 + Settings!$B$4/24) &gt; A521))&gt;0)</f>
        <v>1</v>
      </c>
      <c r="D521">
        <f>--(SUMPRODUCT((Data!$C$2:$C$53="K12")*((Data!$A$2:$A$53 - Settings!$B$4/24) &lt;= A521)*((Data!$B$2:$B$53 + Settings!$B$4/24) &gt; A521))&gt;0)</f>
        <v>1</v>
      </c>
      <c r="E521">
        <f>--(SUMPRODUCT((Data!$C$2:$C$53="K12B")*((Data!$A$2:$A$53 - Settings!$B$4/24) &lt;= A521)*((Data!$B$2:$B$53 + Settings!$B$4/24) &gt; A521))&gt;0)</f>
        <v>1</v>
      </c>
      <c r="F521">
        <f>--(SUMPRODUCT((Data!$C$2:$C$53="TT2")*((Data!$A$2:$A$53 - Settings!$B$4/24) &lt;= A521)*((Data!$B$2:$B$53 + Settings!$B$4/24) &gt; A521))&gt;0)</f>
        <v>0</v>
      </c>
    </row>
    <row r="522" spans="1:6" ht="15.6" x14ac:dyDescent="0.3">
      <c r="A522" s="1">
        <v>45953.667013888888</v>
      </c>
      <c r="B522">
        <f>--(SUMPRODUCT((Data!$C$2:$C$53="K12C")*((Data!$A$2:$A$53 - Settings!$B$4/24) &lt;= A522)*((Data!$B$2:$B$53 + Settings!$B$4/24) &gt; A522))&gt;0)</f>
        <v>0</v>
      </c>
      <c r="C522">
        <f>--(SUMPRODUCT((Data!$C$2:$C$53="K12A")*((Data!$A$2:$A$53 - Settings!$B$4/24) &lt;= A522)*((Data!$B$2:$B$53 + Settings!$B$4/24) &gt; A522))&gt;0)</f>
        <v>1</v>
      </c>
      <c r="D522">
        <f>--(SUMPRODUCT((Data!$C$2:$C$53="K12")*((Data!$A$2:$A$53 - Settings!$B$4/24) &lt;= A522)*((Data!$B$2:$B$53 + Settings!$B$4/24) &gt; A522))&gt;0)</f>
        <v>1</v>
      </c>
      <c r="E522">
        <f>--(SUMPRODUCT((Data!$C$2:$C$53="K12B")*((Data!$A$2:$A$53 - Settings!$B$4/24) &lt;= A522)*((Data!$B$2:$B$53 + Settings!$B$4/24) &gt; A522))&gt;0)</f>
        <v>1</v>
      </c>
      <c r="F522">
        <f>--(SUMPRODUCT((Data!$C$2:$C$53="TT2")*((Data!$A$2:$A$53 - Settings!$B$4/24) &lt;= A522)*((Data!$B$2:$B$53 + Settings!$B$4/24) &gt; A522))&gt;0)</f>
        <v>0</v>
      </c>
    </row>
    <row r="523" spans="1:6" ht="15.6" x14ac:dyDescent="0.3">
      <c r="A523" s="1">
        <v>45953.708680555559</v>
      </c>
      <c r="B523">
        <f>--(SUMPRODUCT((Data!$C$2:$C$53="K12C")*((Data!$A$2:$A$53 - Settings!$B$4/24) &lt;= A523)*((Data!$B$2:$B$53 + Settings!$B$4/24) &gt; A523))&gt;0)</f>
        <v>0</v>
      </c>
      <c r="C523">
        <f>--(SUMPRODUCT((Data!$C$2:$C$53="K12A")*((Data!$A$2:$A$53 - Settings!$B$4/24) &lt;= A523)*((Data!$B$2:$B$53 + Settings!$B$4/24) &gt; A523))&gt;0)</f>
        <v>1</v>
      </c>
      <c r="D523">
        <f>--(SUMPRODUCT((Data!$C$2:$C$53="K12")*((Data!$A$2:$A$53 - Settings!$B$4/24) &lt;= A523)*((Data!$B$2:$B$53 + Settings!$B$4/24) &gt; A523))&gt;0)</f>
        <v>1</v>
      </c>
      <c r="E523">
        <f>--(SUMPRODUCT((Data!$C$2:$C$53="K12B")*((Data!$A$2:$A$53 - Settings!$B$4/24) &lt;= A523)*((Data!$B$2:$B$53 + Settings!$B$4/24) &gt; A523))&gt;0)</f>
        <v>1</v>
      </c>
      <c r="F523">
        <f>--(SUMPRODUCT((Data!$C$2:$C$53="TT2")*((Data!$A$2:$A$53 - Settings!$B$4/24) &lt;= A523)*((Data!$B$2:$B$53 + Settings!$B$4/24) &gt; A523))&gt;0)</f>
        <v>0</v>
      </c>
    </row>
    <row r="524" spans="1:6" ht="15.6" x14ac:dyDescent="0.3">
      <c r="A524" s="1">
        <v>45953.750347222223</v>
      </c>
      <c r="B524">
        <f>--(SUMPRODUCT((Data!$C$2:$C$53="K12C")*((Data!$A$2:$A$53 - Settings!$B$4/24) &lt;= A524)*((Data!$B$2:$B$53 + Settings!$B$4/24) &gt; A524))&gt;0)</f>
        <v>0</v>
      </c>
      <c r="C524">
        <f>--(SUMPRODUCT((Data!$C$2:$C$53="K12A")*((Data!$A$2:$A$53 - Settings!$B$4/24) &lt;= A524)*((Data!$B$2:$B$53 + Settings!$B$4/24) &gt; A524))&gt;0)</f>
        <v>1</v>
      </c>
      <c r="D524">
        <f>--(SUMPRODUCT((Data!$C$2:$C$53="K12")*((Data!$A$2:$A$53 - Settings!$B$4/24) &lt;= A524)*((Data!$B$2:$B$53 + Settings!$B$4/24) &gt; A524))&gt;0)</f>
        <v>1</v>
      </c>
      <c r="E524">
        <f>--(SUMPRODUCT((Data!$C$2:$C$53="K12B")*((Data!$A$2:$A$53 - Settings!$B$4/24) &lt;= A524)*((Data!$B$2:$B$53 + Settings!$B$4/24) &gt; A524))&gt;0)</f>
        <v>1</v>
      </c>
      <c r="F524">
        <f>--(SUMPRODUCT((Data!$C$2:$C$53="TT2")*((Data!$A$2:$A$53 - Settings!$B$4/24) &lt;= A524)*((Data!$B$2:$B$53 + Settings!$B$4/24) &gt; A524))&gt;0)</f>
        <v>0</v>
      </c>
    </row>
    <row r="525" spans="1:6" ht="15.6" x14ac:dyDescent="0.3">
      <c r="A525" s="1">
        <v>45953.792013888888</v>
      </c>
      <c r="B525">
        <f>--(SUMPRODUCT((Data!$C$2:$C$53="K12C")*((Data!$A$2:$A$53 - Settings!$B$4/24) &lt;= A525)*((Data!$B$2:$B$53 + Settings!$B$4/24) &gt; A525))&gt;0)</f>
        <v>0</v>
      </c>
      <c r="C525">
        <f>--(SUMPRODUCT((Data!$C$2:$C$53="K12A")*((Data!$A$2:$A$53 - Settings!$B$4/24) &lt;= A525)*((Data!$B$2:$B$53 + Settings!$B$4/24) &gt; A525))&gt;0)</f>
        <v>1</v>
      </c>
      <c r="D525">
        <f>--(SUMPRODUCT((Data!$C$2:$C$53="K12")*((Data!$A$2:$A$53 - Settings!$B$4/24) &lt;= A525)*((Data!$B$2:$B$53 + Settings!$B$4/24) &gt; A525))&gt;0)</f>
        <v>1</v>
      </c>
      <c r="E525">
        <f>--(SUMPRODUCT((Data!$C$2:$C$53="K12B")*((Data!$A$2:$A$53 - Settings!$B$4/24) &lt;= A525)*((Data!$B$2:$B$53 + Settings!$B$4/24) &gt; A525))&gt;0)</f>
        <v>1</v>
      </c>
      <c r="F525">
        <f>--(SUMPRODUCT((Data!$C$2:$C$53="TT2")*((Data!$A$2:$A$53 - Settings!$B$4/24) &lt;= A525)*((Data!$B$2:$B$53 + Settings!$B$4/24) &gt; A525))&gt;0)</f>
        <v>0</v>
      </c>
    </row>
    <row r="526" spans="1:6" ht="15.6" x14ac:dyDescent="0.3">
      <c r="A526" s="1">
        <v>45953.833680555559</v>
      </c>
      <c r="B526">
        <f>--(SUMPRODUCT((Data!$C$2:$C$53="K12C")*((Data!$A$2:$A$53 - Settings!$B$4/24) &lt;= A526)*((Data!$B$2:$B$53 + Settings!$B$4/24) &gt; A526))&gt;0)</f>
        <v>0</v>
      </c>
      <c r="C526">
        <f>--(SUMPRODUCT((Data!$C$2:$C$53="K12A")*((Data!$A$2:$A$53 - Settings!$B$4/24) &lt;= A526)*((Data!$B$2:$B$53 + Settings!$B$4/24) &gt; A526))&gt;0)</f>
        <v>1</v>
      </c>
      <c r="D526">
        <f>--(SUMPRODUCT((Data!$C$2:$C$53="K12")*((Data!$A$2:$A$53 - Settings!$B$4/24) &lt;= A526)*((Data!$B$2:$B$53 + Settings!$B$4/24) &gt; A526))&gt;0)</f>
        <v>1</v>
      </c>
      <c r="E526">
        <f>--(SUMPRODUCT((Data!$C$2:$C$53="K12B")*((Data!$A$2:$A$53 - Settings!$B$4/24) &lt;= A526)*((Data!$B$2:$B$53 + Settings!$B$4/24) &gt; A526))&gt;0)</f>
        <v>1</v>
      </c>
      <c r="F526">
        <f>--(SUMPRODUCT((Data!$C$2:$C$53="TT2")*((Data!$A$2:$A$53 - Settings!$B$4/24) &lt;= A526)*((Data!$B$2:$B$53 + Settings!$B$4/24) &gt; A526))&gt;0)</f>
        <v>0</v>
      </c>
    </row>
    <row r="527" spans="1:6" ht="15.6" x14ac:dyDescent="0.3">
      <c r="A527" s="1">
        <v>45953.875347222223</v>
      </c>
      <c r="B527">
        <f>--(SUMPRODUCT((Data!$C$2:$C$53="K12C")*((Data!$A$2:$A$53 - Settings!$B$4/24) &lt;= A527)*((Data!$B$2:$B$53 + Settings!$B$4/24) &gt; A527))&gt;0)</f>
        <v>0</v>
      </c>
      <c r="C527">
        <f>--(SUMPRODUCT((Data!$C$2:$C$53="K12A")*((Data!$A$2:$A$53 - Settings!$B$4/24) &lt;= A527)*((Data!$B$2:$B$53 + Settings!$B$4/24) &gt; A527))&gt;0)</f>
        <v>1</v>
      </c>
      <c r="D527">
        <f>--(SUMPRODUCT((Data!$C$2:$C$53="K12")*((Data!$A$2:$A$53 - Settings!$B$4/24) &lt;= A527)*((Data!$B$2:$B$53 + Settings!$B$4/24) &gt; A527))&gt;0)</f>
        <v>1</v>
      </c>
      <c r="E527">
        <f>--(SUMPRODUCT((Data!$C$2:$C$53="K12B")*((Data!$A$2:$A$53 - Settings!$B$4/24) &lt;= A527)*((Data!$B$2:$B$53 + Settings!$B$4/24) &gt; A527))&gt;0)</f>
        <v>1</v>
      </c>
      <c r="F527">
        <f>--(SUMPRODUCT((Data!$C$2:$C$53="TT2")*((Data!$A$2:$A$53 - Settings!$B$4/24) &lt;= A527)*((Data!$B$2:$B$53 + Settings!$B$4/24) &gt; A527))&gt;0)</f>
        <v>0</v>
      </c>
    </row>
    <row r="528" spans="1:6" ht="15.6" x14ac:dyDescent="0.3">
      <c r="A528" s="1">
        <v>45953.917013888888</v>
      </c>
      <c r="B528">
        <f>--(SUMPRODUCT((Data!$C$2:$C$53="K12C")*((Data!$A$2:$A$53 - Settings!$B$4/24) &lt;= A528)*((Data!$B$2:$B$53 + Settings!$B$4/24) &gt; A528))&gt;0)</f>
        <v>0</v>
      </c>
      <c r="C528">
        <f>--(SUMPRODUCT((Data!$C$2:$C$53="K12A")*((Data!$A$2:$A$53 - Settings!$B$4/24) &lt;= A528)*((Data!$B$2:$B$53 + Settings!$B$4/24) &gt; A528))&gt;0)</f>
        <v>1</v>
      </c>
      <c r="D528">
        <f>--(SUMPRODUCT((Data!$C$2:$C$53="K12")*((Data!$A$2:$A$53 - Settings!$B$4/24) &lt;= A528)*((Data!$B$2:$B$53 + Settings!$B$4/24) &gt; A528))&gt;0)</f>
        <v>1</v>
      </c>
      <c r="E528">
        <f>--(SUMPRODUCT((Data!$C$2:$C$53="K12B")*((Data!$A$2:$A$53 - Settings!$B$4/24) &lt;= A528)*((Data!$B$2:$B$53 + Settings!$B$4/24) &gt; A528))&gt;0)</f>
        <v>1</v>
      </c>
      <c r="F528">
        <f>--(SUMPRODUCT((Data!$C$2:$C$53="TT2")*((Data!$A$2:$A$53 - Settings!$B$4/24) &lt;= A528)*((Data!$B$2:$B$53 + Settings!$B$4/24) &gt; A528))&gt;0)</f>
        <v>0</v>
      </c>
    </row>
    <row r="529" spans="1:6" ht="15.6" x14ac:dyDescent="0.3">
      <c r="A529" s="1">
        <v>45953.958680555559</v>
      </c>
      <c r="B529">
        <f>--(SUMPRODUCT((Data!$C$2:$C$53="K12C")*((Data!$A$2:$A$53 - Settings!$B$4/24) &lt;= A529)*((Data!$B$2:$B$53 + Settings!$B$4/24) &gt; A529))&gt;0)</f>
        <v>0</v>
      </c>
      <c r="C529">
        <f>--(SUMPRODUCT((Data!$C$2:$C$53="K12A")*((Data!$A$2:$A$53 - Settings!$B$4/24) &lt;= A529)*((Data!$B$2:$B$53 + Settings!$B$4/24) &gt; A529))&gt;0)</f>
        <v>1</v>
      </c>
      <c r="D529">
        <f>--(SUMPRODUCT((Data!$C$2:$C$53="K12")*((Data!$A$2:$A$53 - Settings!$B$4/24) &lt;= A529)*((Data!$B$2:$B$53 + Settings!$B$4/24) &gt; A529))&gt;0)</f>
        <v>1</v>
      </c>
      <c r="E529">
        <f>--(SUMPRODUCT((Data!$C$2:$C$53="K12B")*((Data!$A$2:$A$53 - Settings!$B$4/24) &lt;= A529)*((Data!$B$2:$B$53 + Settings!$B$4/24) &gt; A529))&gt;0)</f>
        <v>1</v>
      </c>
      <c r="F529">
        <f>--(SUMPRODUCT((Data!$C$2:$C$53="TT2")*((Data!$A$2:$A$53 - Settings!$B$4/24) &lt;= A529)*((Data!$B$2:$B$53 + Settings!$B$4/24) &gt; A529))&gt;0)</f>
        <v>0</v>
      </c>
    </row>
    <row r="530" spans="1:6" ht="15.6" x14ac:dyDescent="0.3">
      <c r="A530" s="1">
        <v>45954.000347222223</v>
      </c>
      <c r="B530">
        <f>--(SUMPRODUCT((Data!$C$2:$C$53="K12C")*((Data!$A$2:$A$53 - Settings!$B$4/24) &lt;= A530)*((Data!$B$2:$B$53 + Settings!$B$4/24) &gt; A530))&gt;0)</f>
        <v>0</v>
      </c>
      <c r="C530">
        <f>--(SUMPRODUCT((Data!$C$2:$C$53="K12A")*((Data!$A$2:$A$53 - Settings!$B$4/24) &lt;= A530)*((Data!$B$2:$B$53 + Settings!$B$4/24) &gt; A530))&gt;0)</f>
        <v>1</v>
      </c>
      <c r="D530">
        <f>--(SUMPRODUCT((Data!$C$2:$C$53="K12")*((Data!$A$2:$A$53 - Settings!$B$4/24) &lt;= A530)*((Data!$B$2:$B$53 + Settings!$B$4/24) &gt; A530))&gt;0)</f>
        <v>1</v>
      </c>
      <c r="E530">
        <f>--(SUMPRODUCT((Data!$C$2:$C$53="K12B")*((Data!$A$2:$A$53 - Settings!$B$4/24) &lt;= A530)*((Data!$B$2:$B$53 + Settings!$B$4/24) &gt; A530))&gt;0)</f>
        <v>1</v>
      </c>
      <c r="F530">
        <f>--(SUMPRODUCT((Data!$C$2:$C$53="TT2")*((Data!$A$2:$A$53 - Settings!$B$4/24) &lt;= A530)*((Data!$B$2:$B$53 + Settings!$B$4/24) &gt; A530))&gt;0)</f>
        <v>0</v>
      </c>
    </row>
    <row r="531" spans="1:6" ht="15.6" x14ac:dyDescent="0.3">
      <c r="A531" s="1">
        <v>45954.042013888888</v>
      </c>
      <c r="B531">
        <f>--(SUMPRODUCT((Data!$C$2:$C$53="K12C")*((Data!$A$2:$A$53 - Settings!$B$4/24) &lt;= A531)*((Data!$B$2:$B$53 + Settings!$B$4/24) &gt; A531))&gt;0)</f>
        <v>0</v>
      </c>
      <c r="C531">
        <f>--(SUMPRODUCT((Data!$C$2:$C$53="K12A")*((Data!$A$2:$A$53 - Settings!$B$4/24) &lt;= A531)*((Data!$B$2:$B$53 + Settings!$B$4/24) &gt; A531))&gt;0)</f>
        <v>1</v>
      </c>
      <c r="D531">
        <f>--(SUMPRODUCT((Data!$C$2:$C$53="K12")*((Data!$A$2:$A$53 - Settings!$B$4/24) &lt;= A531)*((Data!$B$2:$B$53 + Settings!$B$4/24) &gt; A531))&gt;0)</f>
        <v>1</v>
      </c>
      <c r="E531">
        <f>--(SUMPRODUCT((Data!$C$2:$C$53="K12B")*((Data!$A$2:$A$53 - Settings!$B$4/24) &lt;= A531)*((Data!$B$2:$B$53 + Settings!$B$4/24) &gt; A531))&gt;0)</f>
        <v>1</v>
      </c>
      <c r="F531">
        <f>--(SUMPRODUCT((Data!$C$2:$C$53="TT2")*((Data!$A$2:$A$53 - Settings!$B$4/24) &lt;= A531)*((Data!$B$2:$B$53 + Settings!$B$4/24) &gt; A531))&gt;0)</f>
        <v>0</v>
      </c>
    </row>
    <row r="532" spans="1:6" ht="15.6" x14ac:dyDescent="0.3">
      <c r="A532" s="1">
        <v>45954.083680555559</v>
      </c>
      <c r="B532">
        <f>--(SUMPRODUCT((Data!$C$2:$C$53="K12C")*((Data!$A$2:$A$53 - Settings!$B$4/24) &lt;= A532)*((Data!$B$2:$B$53 + Settings!$B$4/24) &gt; A532))&gt;0)</f>
        <v>1</v>
      </c>
      <c r="C532">
        <f>--(SUMPRODUCT((Data!$C$2:$C$53="K12A")*((Data!$A$2:$A$53 - Settings!$B$4/24) &lt;= A532)*((Data!$B$2:$B$53 + Settings!$B$4/24) &gt; A532))&gt;0)</f>
        <v>1</v>
      </c>
      <c r="D532">
        <f>--(SUMPRODUCT((Data!$C$2:$C$53="K12")*((Data!$A$2:$A$53 - Settings!$B$4/24) &lt;= A532)*((Data!$B$2:$B$53 + Settings!$B$4/24) &gt; A532))&gt;0)</f>
        <v>1</v>
      </c>
      <c r="E532">
        <f>--(SUMPRODUCT((Data!$C$2:$C$53="K12B")*((Data!$A$2:$A$53 - Settings!$B$4/24) &lt;= A532)*((Data!$B$2:$B$53 + Settings!$B$4/24) &gt; A532))&gt;0)</f>
        <v>1</v>
      </c>
      <c r="F532">
        <f>--(SUMPRODUCT((Data!$C$2:$C$53="TT2")*((Data!$A$2:$A$53 - Settings!$B$4/24) &lt;= A532)*((Data!$B$2:$B$53 + Settings!$B$4/24) &gt; A532))&gt;0)</f>
        <v>1</v>
      </c>
    </row>
    <row r="533" spans="1:6" ht="15.6" x14ac:dyDescent="0.3">
      <c r="A533" s="1">
        <v>45954.125347222223</v>
      </c>
      <c r="B533">
        <f>--(SUMPRODUCT((Data!$C$2:$C$53="K12C")*((Data!$A$2:$A$53 - Settings!$B$4/24) &lt;= A533)*((Data!$B$2:$B$53 + Settings!$B$4/24) &gt; A533))&gt;0)</f>
        <v>1</v>
      </c>
      <c r="C533">
        <f>--(SUMPRODUCT((Data!$C$2:$C$53="K12A")*((Data!$A$2:$A$53 - Settings!$B$4/24) &lt;= A533)*((Data!$B$2:$B$53 + Settings!$B$4/24) &gt; A533))&gt;0)</f>
        <v>1</v>
      </c>
      <c r="D533">
        <f>--(SUMPRODUCT((Data!$C$2:$C$53="K12")*((Data!$A$2:$A$53 - Settings!$B$4/24) &lt;= A533)*((Data!$B$2:$B$53 + Settings!$B$4/24) &gt; A533))&gt;0)</f>
        <v>1</v>
      </c>
      <c r="E533">
        <f>--(SUMPRODUCT((Data!$C$2:$C$53="K12B")*((Data!$A$2:$A$53 - Settings!$B$4/24) &lt;= A533)*((Data!$B$2:$B$53 + Settings!$B$4/24) &gt; A533))&gt;0)</f>
        <v>1</v>
      </c>
      <c r="F533">
        <f>--(SUMPRODUCT((Data!$C$2:$C$53="TT2")*((Data!$A$2:$A$53 - Settings!$B$4/24) &lt;= A533)*((Data!$B$2:$B$53 + Settings!$B$4/24) &gt; A533))&gt;0)</f>
        <v>1</v>
      </c>
    </row>
    <row r="534" spans="1:6" ht="15.6" x14ac:dyDescent="0.3">
      <c r="A534" s="1">
        <v>45954.167013888888</v>
      </c>
      <c r="B534">
        <f>--(SUMPRODUCT((Data!$C$2:$C$53="K12C")*((Data!$A$2:$A$53 - Settings!$B$4/24) &lt;= A534)*((Data!$B$2:$B$53 + Settings!$B$4/24) &gt; A534))&gt;0)</f>
        <v>1</v>
      </c>
      <c r="C534">
        <f>--(SUMPRODUCT((Data!$C$2:$C$53="K12A")*((Data!$A$2:$A$53 - Settings!$B$4/24) &lt;= A534)*((Data!$B$2:$B$53 + Settings!$B$4/24) &gt; A534))&gt;0)</f>
        <v>1</v>
      </c>
      <c r="D534">
        <f>--(SUMPRODUCT((Data!$C$2:$C$53="K12")*((Data!$A$2:$A$53 - Settings!$B$4/24) &lt;= A534)*((Data!$B$2:$B$53 + Settings!$B$4/24) &gt; A534))&gt;0)</f>
        <v>1</v>
      </c>
      <c r="E534">
        <f>--(SUMPRODUCT((Data!$C$2:$C$53="K12B")*((Data!$A$2:$A$53 - Settings!$B$4/24) &lt;= A534)*((Data!$B$2:$B$53 + Settings!$B$4/24) &gt; A534))&gt;0)</f>
        <v>1</v>
      </c>
      <c r="F534">
        <f>--(SUMPRODUCT((Data!$C$2:$C$53="TT2")*((Data!$A$2:$A$53 - Settings!$B$4/24) &lt;= A534)*((Data!$B$2:$B$53 + Settings!$B$4/24) &gt; A534))&gt;0)</f>
        <v>1</v>
      </c>
    </row>
    <row r="535" spans="1:6" ht="15.6" x14ac:dyDescent="0.3">
      <c r="A535" s="1">
        <v>45954.208680555559</v>
      </c>
      <c r="B535">
        <f>--(SUMPRODUCT((Data!$C$2:$C$53="K12C")*((Data!$A$2:$A$53 - Settings!$B$4/24) &lt;= A535)*((Data!$B$2:$B$53 + Settings!$B$4/24) &gt; A535))&gt;0)</f>
        <v>1</v>
      </c>
      <c r="C535">
        <f>--(SUMPRODUCT((Data!$C$2:$C$53="K12A")*((Data!$A$2:$A$53 - Settings!$B$4/24) &lt;= A535)*((Data!$B$2:$B$53 + Settings!$B$4/24) &gt; A535))&gt;0)</f>
        <v>1</v>
      </c>
      <c r="D535">
        <f>--(SUMPRODUCT((Data!$C$2:$C$53="K12")*((Data!$A$2:$A$53 - Settings!$B$4/24) &lt;= A535)*((Data!$B$2:$B$53 + Settings!$B$4/24) &gt; A535))&gt;0)</f>
        <v>1</v>
      </c>
      <c r="E535">
        <f>--(SUMPRODUCT((Data!$C$2:$C$53="K12B")*((Data!$A$2:$A$53 - Settings!$B$4/24) &lt;= A535)*((Data!$B$2:$B$53 + Settings!$B$4/24) &gt; A535))&gt;0)</f>
        <v>1</v>
      </c>
      <c r="F535">
        <f>--(SUMPRODUCT((Data!$C$2:$C$53="TT2")*((Data!$A$2:$A$53 - Settings!$B$4/24) &lt;= A535)*((Data!$B$2:$B$53 + Settings!$B$4/24) &gt; A535))&gt;0)</f>
        <v>1</v>
      </c>
    </row>
    <row r="536" spans="1:6" ht="15.6" x14ac:dyDescent="0.3">
      <c r="A536" s="1">
        <v>45954.250347222223</v>
      </c>
      <c r="B536">
        <f>--(SUMPRODUCT((Data!$C$2:$C$53="K12C")*((Data!$A$2:$A$53 - Settings!$B$4/24) &lt;= A536)*((Data!$B$2:$B$53 + Settings!$B$4/24) &gt; A536))&gt;0)</f>
        <v>1</v>
      </c>
      <c r="C536">
        <f>--(SUMPRODUCT((Data!$C$2:$C$53="K12A")*((Data!$A$2:$A$53 - Settings!$B$4/24) &lt;= A536)*((Data!$B$2:$B$53 + Settings!$B$4/24) &gt; A536))&gt;0)</f>
        <v>1</v>
      </c>
      <c r="D536">
        <f>--(SUMPRODUCT((Data!$C$2:$C$53="K12")*((Data!$A$2:$A$53 - Settings!$B$4/24) &lt;= A536)*((Data!$B$2:$B$53 + Settings!$B$4/24) &gt; A536))&gt;0)</f>
        <v>1</v>
      </c>
      <c r="E536">
        <f>--(SUMPRODUCT((Data!$C$2:$C$53="K12B")*((Data!$A$2:$A$53 - Settings!$B$4/24) &lt;= A536)*((Data!$B$2:$B$53 + Settings!$B$4/24) &gt; A536))&gt;0)</f>
        <v>1</v>
      </c>
      <c r="F536">
        <f>--(SUMPRODUCT((Data!$C$2:$C$53="TT2")*((Data!$A$2:$A$53 - Settings!$B$4/24) &lt;= A536)*((Data!$B$2:$B$53 + Settings!$B$4/24) &gt; A536))&gt;0)</f>
        <v>1</v>
      </c>
    </row>
    <row r="537" spans="1:6" ht="15.6" x14ac:dyDescent="0.3">
      <c r="A537" s="1">
        <v>45954.292013888888</v>
      </c>
      <c r="B537">
        <f>--(SUMPRODUCT((Data!$C$2:$C$53="K12C")*((Data!$A$2:$A$53 - Settings!$B$4/24) &lt;= A537)*((Data!$B$2:$B$53 + Settings!$B$4/24) &gt; A537))&gt;0)</f>
        <v>1</v>
      </c>
      <c r="C537">
        <f>--(SUMPRODUCT((Data!$C$2:$C$53="K12A")*((Data!$A$2:$A$53 - Settings!$B$4/24) &lt;= A537)*((Data!$B$2:$B$53 + Settings!$B$4/24) &gt; A537))&gt;0)</f>
        <v>1</v>
      </c>
      <c r="D537">
        <f>--(SUMPRODUCT((Data!$C$2:$C$53="K12")*((Data!$A$2:$A$53 - Settings!$B$4/24) &lt;= A537)*((Data!$B$2:$B$53 + Settings!$B$4/24) &gt; A537))&gt;0)</f>
        <v>1</v>
      </c>
      <c r="E537">
        <f>--(SUMPRODUCT((Data!$C$2:$C$53="K12B")*((Data!$A$2:$A$53 - Settings!$B$4/24) &lt;= A537)*((Data!$B$2:$B$53 + Settings!$B$4/24) &gt; A537))&gt;0)</f>
        <v>1</v>
      </c>
      <c r="F537">
        <f>--(SUMPRODUCT((Data!$C$2:$C$53="TT2")*((Data!$A$2:$A$53 - Settings!$B$4/24) &lt;= A537)*((Data!$B$2:$B$53 + Settings!$B$4/24) &gt; A537))&gt;0)</f>
        <v>1</v>
      </c>
    </row>
    <row r="538" spans="1:6" ht="15.6" x14ac:dyDescent="0.3">
      <c r="A538" s="1">
        <v>45954.333680555559</v>
      </c>
      <c r="B538">
        <f>--(SUMPRODUCT((Data!$C$2:$C$53="K12C")*((Data!$A$2:$A$53 - Settings!$B$4/24) &lt;= A538)*((Data!$B$2:$B$53 + Settings!$B$4/24) &gt; A538))&gt;0)</f>
        <v>1</v>
      </c>
      <c r="C538">
        <f>--(SUMPRODUCT((Data!$C$2:$C$53="K12A")*((Data!$A$2:$A$53 - Settings!$B$4/24) &lt;= A538)*((Data!$B$2:$B$53 + Settings!$B$4/24) &gt; A538))&gt;0)</f>
        <v>1</v>
      </c>
      <c r="D538">
        <f>--(SUMPRODUCT((Data!$C$2:$C$53="K12")*((Data!$A$2:$A$53 - Settings!$B$4/24) &lt;= A538)*((Data!$B$2:$B$53 + Settings!$B$4/24) &gt; A538))&gt;0)</f>
        <v>1</v>
      </c>
      <c r="E538">
        <f>--(SUMPRODUCT((Data!$C$2:$C$53="K12B")*((Data!$A$2:$A$53 - Settings!$B$4/24) &lt;= A538)*((Data!$B$2:$B$53 + Settings!$B$4/24) &gt; A538))&gt;0)</f>
        <v>0</v>
      </c>
      <c r="F538">
        <f>--(SUMPRODUCT((Data!$C$2:$C$53="TT2")*((Data!$A$2:$A$53 - Settings!$B$4/24) &lt;= A538)*((Data!$B$2:$B$53 + Settings!$B$4/24) &gt; A538))&gt;0)</f>
        <v>1</v>
      </c>
    </row>
    <row r="539" spans="1:6" ht="15.6" x14ac:dyDescent="0.3">
      <c r="A539" s="1">
        <v>45954.375347222223</v>
      </c>
      <c r="B539">
        <f>--(SUMPRODUCT((Data!$C$2:$C$53="K12C")*((Data!$A$2:$A$53 - Settings!$B$4/24) &lt;= A539)*((Data!$B$2:$B$53 + Settings!$B$4/24) &gt; A539))&gt;0)</f>
        <v>1</v>
      </c>
      <c r="C539">
        <f>--(SUMPRODUCT((Data!$C$2:$C$53="K12A")*((Data!$A$2:$A$53 - Settings!$B$4/24) &lt;= A539)*((Data!$B$2:$B$53 + Settings!$B$4/24) &gt; A539))&gt;0)</f>
        <v>0</v>
      </c>
      <c r="D539">
        <f>--(SUMPRODUCT((Data!$C$2:$C$53="K12")*((Data!$A$2:$A$53 - Settings!$B$4/24) &lt;= A539)*((Data!$B$2:$B$53 + Settings!$B$4/24) &gt; A539))&gt;0)</f>
        <v>1</v>
      </c>
      <c r="E539">
        <f>--(SUMPRODUCT((Data!$C$2:$C$53="K12B")*((Data!$A$2:$A$53 - Settings!$B$4/24) &lt;= A539)*((Data!$B$2:$B$53 + Settings!$B$4/24) &gt; A539))&gt;0)</f>
        <v>0</v>
      </c>
      <c r="F539">
        <f>--(SUMPRODUCT((Data!$C$2:$C$53="TT2")*((Data!$A$2:$A$53 - Settings!$B$4/24) &lt;= A539)*((Data!$B$2:$B$53 + Settings!$B$4/24) &gt; A539))&gt;0)</f>
        <v>1</v>
      </c>
    </row>
    <row r="540" spans="1:6" ht="15.6" x14ac:dyDescent="0.3">
      <c r="A540" s="1">
        <v>45954.417013888888</v>
      </c>
      <c r="B540">
        <f>--(SUMPRODUCT((Data!$C$2:$C$53="K12C")*((Data!$A$2:$A$53 - Settings!$B$4/24) &lt;= A540)*((Data!$B$2:$B$53 + Settings!$B$4/24) &gt; A540))&gt;0)</f>
        <v>1</v>
      </c>
      <c r="C540">
        <f>--(SUMPRODUCT((Data!$C$2:$C$53="K12A")*((Data!$A$2:$A$53 - Settings!$B$4/24) &lt;= A540)*((Data!$B$2:$B$53 + Settings!$B$4/24) &gt; A540))&gt;0)</f>
        <v>0</v>
      </c>
      <c r="D540">
        <f>--(SUMPRODUCT((Data!$C$2:$C$53="K12")*((Data!$A$2:$A$53 - Settings!$B$4/24) &lt;= A540)*((Data!$B$2:$B$53 + Settings!$B$4/24) &gt; A540))&gt;0)</f>
        <v>1</v>
      </c>
      <c r="E540">
        <f>--(SUMPRODUCT((Data!$C$2:$C$53="K12B")*((Data!$A$2:$A$53 - Settings!$B$4/24) &lt;= A540)*((Data!$B$2:$B$53 + Settings!$B$4/24) &gt; A540))&gt;0)</f>
        <v>0</v>
      </c>
      <c r="F540">
        <f>--(SUMPRODUCT((Data!$C$2:$C$53="TT2")*((Data!$A$2:$A$53 - Settings!$B$4/24) &lt;= A540)*((Data!$B$2:$B$53 + Settings!$B$4/24) &gt; A540))&gt;0)</f>
        <v>1</v>
      </c>
    </row>
    <row r="541" spans="1:6" ht="15.6" x14ac:dyDescent="0.3">
      <c r="A541" s="1">
        <v>45954.458680555559</v>
      </c>
      <c r="B541">
        <f>--(SUMPRODUCT((Data!$C$2:$C$53="K12C")*((Data!$A$2:$A$53 - Settings!$B$4/24) &lt;= A541)*((Data!$B$2:$B$53 + Settings!$B$4/24) &gt; A541))&gt;0)</f>
        <v>1</v>
      </c>
      <c r="C541">
        <f>--(SUMPRODUCT((Data!$C$2:$C$53="K12A")*((Data!$A$2:$A$53 - Settings!$B$4/24) &lt;= A541)*((Data!$B$2:$B$53 + Settings!$B$4/24) &gt; A541))&gt;0)</f>
        <v>0</v>
      </c>
      <c r="D541">
        <f>--(SUMPRODUCT((Data!$C$2:$C$53="K12")*((Data!$A$2:$A$53 - Settings!$B$4/24) &lt;= A541)*((Data!$B$2:$B$53 + Settings!$B$4/24) &gt; A541))&gt;0)</f>
        <v>1</v>
      </c>
      <c r="E541">
        <f>--(SUMPRODUCT((Data!$C$2:$C$53="K12B")*((Data!$A$2:$A$53 - Settings!$B$4/24) &lt;= A541)*((Data!$B$2:$B$53 + Settings!$B$4/24) &gt; A541))&gt;0)</f>
        <v>0</v>
      </c>
      <c r="F541">
        <f>--(SUMPRODUCT((Data!$C$2:$C$53="TT2")*((Data!$A$2:$A$53 - Settings!$B$4/24) &lt;= A541)*((Data!$B$2:$B$53 + Settings!$B$4/24) &gt; A541))&gt;0)</f>
        <v>1</v>
      </c>
    </row>
    <row r="542" spans="1:6" ht="15.6" x14ac:dyDescent="0.3">
      <c r="A542" s="1">
        <v>45954.500347222223</v>
      </c>
      <c r="B542">
        <f>--(SUMPRODUCT((Data!$C$2:$C$53="K12C")*((Data!$A$2:$A$53 - Settings!$B$4/24) &lt;= A542)*((Data!$B$2:$B$53 + Settings!$B$4/24) &gt; A542))&gt;0)</f>
        <v>1</v>
      </c>
      <c r="C542">
        <f>--(SUMPRODUCT((Data!$C$2:$C$53="K12A")*((Data!$A$2:$A$53 - Settings!$B$4/24) &lt;= A542)*((Data!$B$2:$B$53 + Settings!$B$4/24) &gt; A542))&gt;0)</f>
        <v>0</v>
      </c>
      <c r="D542">
        <f>--(SUMPRODUCT((Data!$C$2:$C$53="K12")*((Data!$A$2:$A$53 - Settings!$B$4/24) &lt;= A542)*((Data!$B$2:$B$53 + Settings!$B$4/24) &gt; A542))&gt;0)</f>
        <v>1</v>
      </c>
      <c r="E542">
        <f>--(SUMPRODUCT((Data!$C$2:$C$53="K12B")*((Data!$A$2:$A$53 - Settings!$B$4/24) &lt;= A542)*((Data!$B$2:$B$53 + Settings!$B$4/24) &gt; A542))&gt;0)</f>
        <v>0</v>
      </c>
      <c r="F542">
        <f>--(SUMPRODUCT((Data!$C$2:$C$53="TT2")*((Data!$A$2:$A$53 - Settings!$B$4/24) &lt;= A542)*((Data!$B$2:$B$53 + Settings!$B$4/24) &gt; A542))&gt;0)</f>
        <v>1</v>
      </c>
    </row>
    <row r="543" spans="1:6" ht="15.6" x14ac:dyDescent="0.3">
      <c r="A543" s="1">
        <v>45954.542013888888</v>
      </c>
      <c r="B543">
        <f>--(SUMPRODUCT((Data!$C$2:$C$53="K12C")*((Data!$A$2:$A$53 - Settings!$B$4/24) &lt;= A543)*((Data!$B$2:$B$53 + Settings!$B$4/24) &gt; A543))&gt;0)</f>
        <v>1</v>
      </c>
      <c r="C543">
        <f>--(SUMPRODUCT((Data!$C$2:$C$53="K12A")*((Data!$A$2:$A$53 - Settings!$B$4/24) &lt;= A543)*((Data!$B$2:$B$53 + Settings!$B$4/24) &gt; A543))&gt;0)</f>
        <v>0</v>
      </c>
      <c r="D543">
        <f>--(SUMPRODUCT((Data!$C$2:$C$53="K12")*((Data!$A$2:$A$53 - Settings!$B$4/24) &lt;= A543)*((Data!$B$2:$B$53 + Settings!$B$4/24) &gt; A543))&gt;0)</f>
        <v>1</v>
      </c>
      <c r="E543">
        <f>--(SUMPRODUCT((Data!$C$2:$C$53="K12B")*((Data!$A$2:$A$53 - Settings!$B$4/24) &lt;= A543)*((Data!$B$2:$B$53 + Settings!$B$4/24) &gt; A543))&gt;0)</f>
        <v>0</v>
      </c>
      <c r="F543">
        <f>--(SUMPRODUCT((Data!$C$2:$C$53="TT2")*((Data!$A$2:$A$53 - Settings!$B$4/24) &lt;= A543)*((Data!$B$2:$B$53 + Settings!$B$4/24) &gt; A543))&gt;0)</f>
        <v>1</v>
      </c>
    </row>
    <row r="544" spans="1:6" ht="15.6" x14ac:dyDescent="0.3">
      <c r="A544" s="1">
        <v>45954.583680555559</v>
      </c>
      <c r="B544">
        <f>--(SUMPRODUCT((Data!$C$2:$C$53="K12C")*((Data!$A$2:$A$53 - Settings!$B$4/24) &lt;= A544)*((Data!$B$2:$B$53 + Settings!$B$4/24) &gt; A544))&gt;0)</f>
        <v>1</v>
      </c>
      <c r="C544">
        <f>--(SUMPRODUCT((Data!$C$2:$C$53="K12A")*((Data!$A$2:$A$53 - Settings!$B$4/24) &lt;= A544)*((Data!$B$2:$B$53 + Settings!$B$4/24) &gt; A544))&gt;0)</f>
        <v>0</v>
      </c>
      <c r="D544">
        <f>--(SUMPRODUCT((Data!$C$2:$C$53="K12")*((Data!$A$2:$A$53 - Settings!$B$4/24) &lt;= A544)*((Data!$B$2:$B$53 + Settings!$B$4/24) &gt; A544))&gt;0)</f>
        <v>1</v>
      </c>
      <c r="E544">
        <f>--(SUMPRODUCT((Data!$C$2:$C$53="K12B")*((Data!$A$2:$A$53 - Settings!$B$4/24) &lt;= A544)*((Data!$B$2:$B$53 + Settings!$B$4/24) &gt; A544))&gt;0)</f>
        <v>0</v>
      </c>
      <c r="F544">
        <f>--(SUMPRODUCT((Data!$C$2:$C$53="TT2")*((Data!$A$2:$A$53 - Settings!$B$4/24) &lt;= A544)*((Data!$B$2:$B$53 + Settings!$B$4/24) &gt; A544))&gt;0)</f>
        <v>1</v>
      </c>
    </row>
    <row r="545" spans="1:6" ht="15.6" x14ac:dyDescent="0.3">
      <c r="A545" s="1">
        <v>45954.625347222223</v>
      </c>
      <c r="B545">
        <f>--(SUMPRODUCT((Data!$C$2:$C$53="K12C")*((Data!$A$2:$A$53 - Settings!$B$4/24) &lt;= A545)*((Data!$B$2:$B$53 + Settings!$B$4/24) &gt; A545))&gt;0)</f>
        <v>1</v>
      </c>
      <c r="C545">
        <f>--(SUMPRODUCT((Data!$C$2:$C$53="K12A")*((Data!$A$2:$A$53 - Settings!$B$4/24) &lt;= A545)*((Data!$B$2:$B$53 + Settings!$B$4/24) &gt; A545))&gt;0)</f>
        <v>0</v>
      </c>
      <c r="D545">
        <f>--(SUMPRODUCT((Data!$C$2:$C$53="K12")*((Data!$A$2:$A$53 - Settings!$B$4/24) &lt;= A545)*((Data!$B$2:$B$53 + Settings!$B$4/24) &gt; A545))&gt;0)</f>
        <v>1</v>
      </c>
      <c r="E545">
        <f>--(SUMPRODUCT((Data!$C$2:$C$53="K12B")*((Data!$A$2:$A$53 - Settings!$B$4/24) &lt;= A545)*((Data!$B$2:$B$53 + Settings!$B$4/24) &gt; A545))&gt;0)</f>
        <v>0</v>
      </c>
      <c r="F545">
        <f>--(SUMPRODUCT((Data!$C$2:$C$53="TT2")*((Data!$A$2:$A$53 - Settings!$B$4/24) &lt;= A545)*((Data!$B$2:$B$53 + Settings!$B$4/24) &gt; A545))&gt;0)</f>
        <v>1</v>
      </c>
    </row>
    <row r="546" spans="1:6" ht="15.6" x14ac:dyDescent="0.3">
      <c r="A546" s="1">
        <v>45954.667013888888</v>
      </c>
      <c r="B546">
        <f>--(SUMPRODUCT((Data!$C$2:$C$53="K12C")*((Data!$A$2:$A$53 - Settings!$B$4/24) &lt;= A546)*((Data!$B$2:$B$53 + Settings!$B$4/24) &gt; A546))&gt;0)</f>
        <v>1</v>
      </c>
      <c r="C546">
        <f>--(SUMPRODUCT((Data!$C$2:$C$53="K12A")*((Data!$A$2:$A$53 - Settings!$B$4/24) &lt;= A546)*((Data!$B$2:$B$53 + Settings!$B$4/24) &gt; A546))&gt;0)</f>
        <v>0</v>
      </c>
      <c r="D546">
        <f>--(SUMPRODUCT((Data!$C$2:$C$53="K12")*((Data!$A$2:$A$53 - Settings!$B$4/24) &lt;= A546)*((Data!$B$2:$B$53 + Settings!$B$4/24) &gt; A546))&gt;0)</f>
        <v>1</v>
      </c>
      <c r="E546">
        <f>--(SUMPRODUCT((Data!$C$2:$C$53="K12B")*((Data!$A$2:$A$53 - Settings!$B$4/24) &lt;= A546)*((Data!$B$2:$B$53 + Settings!$B$4/24) &gt; A546))&gt;0)</f>
        <v>0</v>
      </c>
      <c r="F546">
        <f>--(SUMPRODUCT((Data!$C$2:$C$53="TT2")*((Data!$A$2:$A$53 - Settings!$B$4/24) &lt;= A546)*((Data!$B$2:$B$53 + Settings!$B$4/24) &gt; A546))&gt;0)</f>
        <v>1</v>
      </c>
    </row>
    <row r="547" spans="1:6" ht="15.6" x14ac:dyDescent="0.3">
      <c r="A547" s="1">
        <v>45954.708680555559</v>
      </c>
      <c r="B547">
        <f>--(SUMPRODUCT((Data!$C$2:$C$53="K12C")*((Data!$A$2:$A$53 - Settings!$B$4/24) &lt;= A547)*((Data!$B$2:$B$53 + Settings!$B$4/24) &gt; A547))&gt;0)</f>
        <v>1</v>
      </c>
      <c r="C547">
        <f>--(SUMPRODUCT((Data!$C$2:$C$53="K12A")*((Data!$A$2:$A$53 - Settings!$B$4/24) &lt;= A547)*((Data!$B$2:$B$53 + Settings!$B$4/24) &gt; A547))&gt;0)</f>
        <v>0</v>
      </c>
      <c r="D547">
        <f>--(SUMPRODUCT((Data!$C$2:$C$53="K12")*((Data!$A$2:$A$53 - Settings!$B$4/24) &lt;= A547)*((Data!$B$2:$B$53 + Settings!$B$4/24) &gt; A547))&gt;0)</f>
        <v>1</v>
      </c>
      <c r="E547">
        <f>--(SUMPRODUCT((Data!$C$2:$C$53="K12B")*((Data!$A$2:$A$53 - Settings!$B$4/24) &lt;= A547)*((Data!$B$2:$B$53 + Settings!$B$4/24) &gt; A547))&gt;0)</f>
        <v>0</v>
      </c>
      <c r="F547">
        <f>--(SUMPRODUCT((Data!$C$2:$C$53="TT2")*((Data!$A$2:$A$53 - Settings!$B$4/24) &lt;= A547)*((Data!$B$2:$B$53 + Settings!$B$4/24) &gt; A547))&gt;0)</f>
        <v>1</v>
      </c>
    </row>
    <row r="548" spans="1:6" ht="15.6" x14ac:dyDescent="0.3">
      <c r="A548" s="1">
        <v>45954.750347222223</v>
      </c>
      <c r="B548">
        <f>--(SUMPRODUCT((Data!$C$2:$C$53="K12C")*((Data!$A$2:$A$53 - Settings!$B$4/24) &lt;= A548)*((Data!$B$2:$B$53 + Settings!$B$4/24) &gt; A548))&gt;0)</f>
        <v>1</v>
      </c>
      <c r="C548">
        <f>--(SUMPRODUCT((Data!$C$2:$C$53="K12A")*((Data!$A$2:$A$53 - Settings!$B$4/24) &lt;= A548)*((Data!$B$2:$B$53 + Settings!$B$4/24) &gt; A548))&gt;0)</f>
        <v>0</v>
      </c>
      <c r="D548">
        <f>--(SUMPRODUCT((Data!$C$2:$C$53="K12")*((Data!$A$2:$A$53 - Settings!$B$4/24) &lt;= A548)*((Data!$B$2:$B$53 + Settings!$B$4/24) &gt; A548))&gt;0)</f>
        <v>1</v>
      </c>
      <c r="E548">
        <f>--(SUMPRODUCT((Data!$C$2:$C$53="K12B")*((Data!$A$2:$A$53 - Settings!$B$4/24) &lt;= A548)*((Data!$B$2:$B$53 + Settings!$B$4/24) &gt; A548))&gt;0)</f>
        <v>0</v>
      </c>
      <c r="F548">
        <f>--(SUMPRODUCT((Data!$C$2:$C$53="TT2")*((Data!$A$2:$A$53 - Settings!$B$4/24) &lt;= A548)*((Data!$B$2:$B$53 + Settings!$B$4/24) &gt; A548))&gt;0)</f>
        <v>1</v>
      </c>
    </row>
    <row r="549" spans="1:6" ht="15.6" x14ac:dyDescent="0.3">
      <c r="A549" s="1">
        <v>45954.792013888888</v>
      </c>
      <c r="B549">
        <f>--(SUMPRODUCT((Data!$C$2:$C$53="K12C")*((Data!$A$2:$A$53 - Settings!$B$4/24) &lt;= A549)*((Data!$B$2:$B$53 + Settings!$B$4/24) &gt; A549))&gt;0)</f>
        <v>1</v>
      </c>
      <c r="C549">
        <f>--(SUMPRODUCT((Data!$C$2:$C$53="K12A")*((Data!$A$2:$A$53 - Settings!$B$4/24) &lt;= A549)*((Data!$B$2:$B$53 + Settings!$B$4/24) &gt; A549))&gt;0)</f>
        <v>0</v>
      </c>
      <c r="D549">
        <f>--(SUMPRODUCT((Data!$C$2:$C$53="K12")*((Data!$A$2:$A$53 - Settings!$B$4/24) &lt;= A549)*((Data!$B$2:$B$53 + Settings!$B$4/24) &gt; A549))&gt;0)</f>
        <v>1</v>
      </c>
      <c r="E549">
        <f>--(SUMPRODUCT((Data!$C$2:$C$53="K12B")*((Data!$A$2:$A$53 - Settings!$B$4/24) &lt;= A549)*((Data!$B$2:$B$53 + Settings!$B$4/24) &gt; A549))&gt;0)</f>
        <v>0</v>
      </c>
      <c r="F549">
        <f>--(SUMPRODUCT((Data!$C$2:$C$53="TT2")*((Data!$A$2:$A$53 - Settings!$B$4/24) &lt;= A549)*((Data!$B$2:$B$53 + Settings!$B$4/24) &gt; A549))&gt;0)</f>
        <v>1</v>
      </c>
    </row>
    <row r="550" spans="1:6" ht="15.6" x14ac:dyDescent="0.3">
      <c r="A550" s="1">
        <v>45954.833680555559</v>
      </c>
      <c r="B550">
        <f>--(SUMPRODUCT((Data!$C$2:$C$53="K12C")*((Data!$A$2:$A$53 - Settings!$B$4/24) &lt;= A550)*((Data!$B$2:$B$53 + Settings!$B$4/24) &gt; A550))&gt;0)</f>
        <v>1</v>
      </c>
      <c r="C550">
        <f>--(SUMPRODUCT((Data!$C$2:$C$53="K12A")*((Data!$A$2:$A$53 - Settings!$B$4/24) &lt;= A550)*((Data!$B$2:$B$53 + Settings!$B$4/24) &gt; A550))&gt;0)</f>
        <v>0</v>
      </c>
      <c r="D550">
        <f>--(SUMPRODUCT((Data!$C$2:$C$53="K12")*((Data!$A$2:$A$53 - Settings!$B$4/24) &lt;= A550)*((Data!$B$2:$B$53 + Settings!$B$4/24) &gt; A550))&gt;0)</f>
        <v>1</v>
      </c>
      <c r="E550">
        <f>--(SUMPRODUCT((Data!$C$2:$C$53="K12B")*((Data!$A$2:$A$53 - Settings!$B$4/24) &lt;= A550)*((Data!$B$2:$B$53 + Settings!$B$4/24) &gt; A550))&gt;0)</f>
        <v>0</v>
      </c>
      <c r="F550">
        <f>--(SUMPRODUCT((Data!$C$2:$C$53="TT2")*((Data!$A$2:$A$53 - Settings!$B$4/24) &lt;= A550)*((Data!$B$2:$B$53 + Settings!$B$4/24) &gt; A550))&gt;0)</f>
        <v>1</v>
      </c>
    </row>
    <row r="551" spans="1:6" ht="15.6" x14ac:dyDescent="0.3">
      <c r="A551" s="1">
        <v>45954.875347222223</v>
      </c>
      <c r="B551">
        <f>--(SUMPRODUCT((Data!$C$2:$C$53="K12C")*((Data!$A$2:$A$53 - Settings!$B$4/24) &lt;= A551)*((Data!$B$2:$B$53 + Settings!$B$4/24) &gt; A551))&gt;0)</f>
        <v>0</v>
      </c>
      <c r="C551">
        <f>--(SUMPRODUCT((Data!$C$2:$C$53="K12A")*((Data!$A$2:$A$53 - Settings!$B$4/24) &lt;= A551)*((Data!$B$2:$B$53 + Settings!$B$4/24) &gt; A551))&gt;0)</f>
        <v>0</v>
      </c>
      <c r="D551">
        <f>--(SUMPRODUCT((Data!$C$2:$C$53="K12")*((Data!$A$2:$A$53 - Settings!$B$4/24) &lt;= A551)*((Data!$B$2:$B$53 + Settings!$B$4/24) &gt; A551))&gt;0)</f>
        <v>1</v>
      </c>
      <c r="E551">
        <f>--(SUMPRODUCT((Data!$C$2:$C$53="K12B")*((Data!$A$2:$A$53 - Settings!$B$4/24) &lt;= A551)*((Data!$B$2:$B$53 + Settings!$B$4/24) &gt; A551))&gt;0)</f>
        <v>0</v>
      </c>
      <c r="F551">
        <f>--(SUMPRODUCT((Data!$C$2:$C$53="TT2")*((Data!$A$2:$A$53 - Settings!$B$4/24) &lt;= A551)*((Data!$B$2:$B$53 + Settings!$B$4/24) &gt; A551))&gt;0)</f>
        <v>1</v>
      </c>
    </row>
    <row r="552" spans="1:6" ht="15.6" x14ac:dyDescent="0.3">
      <c r="A552" s="1">
        <v>45954.917013888888</v>
      </c>
      <c r="B552">
        <f>--(SUMPRODUCT((Data!$C$2:$C$53="K12C")*((Data!$A$2:$A$53 - Settings!$B$4/24) &lt;= A552)*((Data!$B$2:$B$53 + Settings!$B$4/24) &gt; A552))&gt;0)</f>
        <v>0</v>
      </c>
      <c r="C552">
        <f>--(SUMPRODUCT((Data!$C$2:$C$53="K12A")*((Data!$A$2:$A$53 - Settings!$B$4/24) &lt;= A552)*((Data!$B$2:$B$53 + Settings!$B$4/24) &gt; A552))&gt;0)</f>
        <v>0</v>
      </c>
      <c r="D552">
        <f>--(SUMPRODUCT((Data!$C$2:$C$53="K12")*((Data!$A$2:$A$53 - Settings!$B$4/24) &lt;= A552)*((Data!$B$2:$B$53 + Settings!$B$4/24) &gt; A552))&gt;0)</f>
        <v>1</v>
      </c>
      <c r="E552">
        <f>--(SUMPRODUCT((Data!$C$2:$C$53="K12B")*((Data!$A$2:$A$53 - Settings!$B$4/24) &lt;= A552)*((Data!$B$2:$B$53 + Settings!$B$4/24) &gt; A552))&gt;0)</f>
        <v>0</v>
      </c>
      <c r="F552">
        <f>--(SUMPRODUCT((Data!$C$2:$C$53="TT2")*((Data!$A$2:$A$53 - Settings!$B$4/24) &lt;= A552)*((Data!$B$2:$B$53 + Settings!$B$4/24) &gt; A552))&gt;0)</f>
        <v>1</v>
      </c>
    </row>
    <row r="553" spans="1:6" ht="15.6" x14ac:dyDescent="0.3">
      <c r="A553" s="1">
        <v>45954.958680555559</v>
      </c>
      <c r="B553">
        <f>--(SUMPRODUCT((Data!$C$2:$C$53="K12C")*((Data!$A$2:$A$53 - Settings!$B$4/24) &lt;= A553)*((Data!$B$2:$B$53 + Settings!$B$4/24) &gt; A553))&gt;0)</f>
        <v>0</v>
      </c>
      <c r="C553">
        <f>--(SUMPRODUCT((Data!$C$2:$C$53="K12A")*((Data!$A$2:$A$53 - Settings!$B$4/24) &lt;= A553)*((Data!$B$2:$B$53 + Settings!$B$4/24) &gt; A553))&gt;0)</f>
        <v>0</v>
      </c>
      <c r="D553">
        <f>--(SUMPRODUCT((Data!$C$2:$C$53="K12")*((Data!$A$2:$A$53 - Settings!$B$4/24) &lt;= A553)*((Data!$B$2:$B$53 + Settings!$B$4/24) &gt; A553))&gt;0)</f>
        <v>1</v>
      </c>
      <c r="E553">
        <f>--(SUMPRODUCT((Data!$C$2:$C$53="K12B")*((Data!$A$2:$A$53 - Settings!$B$4/24) &lt;= A553)*((Data!$B$2:$B$53 + Settings!$B$4/24) &gt; A553))&gt;0)</f>
        <v>0</v>
      </c>
      <c r="F553">
        <f>--(SUMPRODUCT((Data!$C$2:$C$53="TT2")*((Data!$A$2:$A$53 - Settings!$B$4/24) &lt;= A553)*((Data!$B$2:$B$53 + Settings!$B$4/24) &gt; A553))&gt;0)</f>
        <v>1</v>
      </c>
    </row>
    <row r="554" spans="1:6" ht="15.6" x14ac:dyDescent="0.3">
      <c r="A554" s="1">
        <v>45955.000347222223</v>
      </c>
      <c r="B554">
        <f>--(SUMPRODUCT((Data!$C$2:$C$53="K12C")*((Data!$A$2:$A$53 - Settings!$B$4/24) &lt;= A554)*((Data!$B$2:$B$53 + Settings!$B$4/24) &gt; A554))&gt;0)</f>
        <v>0</v>
      </c>
      <c r="C554">
        <f>--(SUMPRODUCT((Data!$C$2:$C$53="K12A")*((Data!$A$2:$A$53 - Settings!$B$4/24) &lt;= A554)*((Data!$B$2:$B$53 + Settings!$B$4/24) &gt; A554))&gt;0)</f>
        <v>0</v>
      </c>
      <c r="D554">
        <f>--(SUMPRODUCT((Data!$C$2:$C$53="K12")*((Data!$A$2:$A$53 - Settings!$B$4/24) &lt;= A554)*((Data!$B$2:$B$53 + Settings!$B$4/24) &gt; A554))&gt;0)</f>
        <v>1</v>
      </c>
      <c r="E554">
        <f>--(SUMPRODUCT((Data!$C$2:$C$53="K12B")*((Data!$A$2:$A$53 - Settings!$B$4/24) &lt;= A554)*((Data!$B$2:$B$53 + Settings!$B$4/24) &gt; A554))&gt;0)</f>
        <v>0</v>
      </c>
      <c r="F554">
        <f>--(SUMPRODUCT((Data!$C$2:$C$53="TT2")*((Data!$A$2:$A$53 - Settings!$B$4/24) &lt;= A554)*((Data!$B$2:$B$53 + Settings!$B$4/24) &gt; A554))&gt;0)</f>
        <v>1</v>
      </c>
    </row>
    <row r="555" spans="1:6" ht="15.6" x14ac:dyDescent="0.3">
      <c r="A555" s="1">
        <v>45955.042013888888</v>
      </c>
      <c r="B555">
        <f>--(SUMPRODUCT((Data!$C$2:$C$53="K12C")*((Data!$A$2:$A$53 - Settings!$B$4/24) &lt;= A555)*((Data!$B$2:$B$53 + Settings!$B$4/24) &gt; A555))&gt;0)</f>
        <v>0</v>
      </c>
      <c r="C555">
        <f>--(SUMPRODUCT((Data!$C$2:$C$53="K12A")*((Data!$A$2:$A$53 - Settings!$B$4/24) &lt;= A555)*((Data!$B$2:$B$53 + Settings!$B$4/24) &gt; A555))&gt;0)</f>
        <v>0</v>
      </c>
      <c r="D555">
        <f>--(SUMPRODUCT((Data!$C$2:$C$53="K12")*((Data!$A$2:$A$53 - Settings!$B$4/24) &lt;= A555)*((Data!$B$2:$B$53 + Settings!$B$4/24) &gt; A555))&gt;0)</f>
        <v>1</v>
      </c>
      <c r="E555">
        <f>--(SUMPRODUCT((Data!$C$2:$C$53="K12B")*((Data!$A$2:$A$53 - Settings!$B$4/24) &lt;= A555)*((Data!$B$2:$B$53 + Settings!$B$4/24) &gt; A555))&gt;0)</f>
        <v>0</v>
      </c>
      <c r="F555">
        <f>--(SUMPRODUCT((Data!$C$2:$C$53="TT2")*((Data!$A$2:$A$53 - Settings!$B$4/24) &lt;= A555)*((Data!$B$2:$B$53 + Settings!$B$4/24) &gt; A555))&gt;0)</f>
        <v>1</v>
      </c>
    </row>
    <row r="556" spans="1:6" ht="15.6" x14ac:dyDescent="0.3">
      <c r="A556" s="1">
        <v>45955.083680555559</v>
      </c>
      <c r="B556">
        <f>--(SUMPRODUCT((Data!$C$2:$C$53="K12C")*((Data!$A$2:$A$53 - Settings!$B$4/24) &lt;= A556)*((Data!$B$2:$B$53 + Settings!$B$4/24) &gt; A556))&gt;0)</f>
        <v>1</v>
      </c>
      <c r="C556">
        <f>--(SUMPRODUCT((Data!$C$2:$C$53="K12A")*((Data!$A$2:$A$53 - Settings!$B$4/24) &lt;= A556)*((Data!$B$2:$B$53 + Settings!$B$4/24) &gt; A556))&gt;0)</f>
        <v>0</v>
      </c>
      <c r="D556">
        <f>--(SUMPRODUCT((Data!$C$2:$C$53="K12")*((Data!$A$2:$A$53 - Settings!$B$4/24) &lt;= A556)*((Data!$B$2:$B$53 + Settings!$B$4/24) &gt; A556))&gt;0)</f>
        <v>1</v>
      </c>
      <c r="E556">
        <f>--(SUMPRODUCT((Data!$C$2:$C$53="K12B")*((Data!$A$2:$A$53 - Settings!$B$4/24) &lt;= A556)*((Data!$B$2:$B$53 + Settings!$B$4/24) &gt; A556))&gt;0)</f>
        <v>0</v>
      </c>
      <c r="F556">
        <f>--(SUMPRODUCT((Data!$C$2:$C$53="TT2")*((Data!$A$2:$A$53 - Settings!$B$4/24) &lt;= A556)*((Data!$B$2:$B$53 + Settings!$B$4/24) &gt; A556))&gt;0)</f>
        <v>1</v>
      </c>
    </row>
    <row r="557" spans="1:6" ht="15.6" x14ac:dyDescent="0.3">
      <c r="A557" s="1">
        <v>45955.125347222223</v>
      </c>
      <c r="B557">
        <f>--(SUMPRODUCT((Data!$C$2:$C$53="K12C")*((Data!$A$2:$A$53 - Settings!$B$4/24) &lt;= A557)*((Data!$B$2:$B$53 + Settings!$B$4/24) &gt; A557))&gt;0)</f>
        <v>1</v>
      </c>
      <c r="C557">
        <f>--(SUMPRODUCT((Data!$C$2:$C$53="K12A")*((Data!$A$2:$A$53 - Settings!$B$4/24) &lt;= A557)*((Data!$B$2:$B$53 + Settings!$B$4/24) &gt; A557))&gt;0)</f>
        <v>1</v>
      </c>
      <c r="D557">
        <f>--(SUMPRODUCT((Data!$C$2:$C$53="K12")*((Data!$A$2:$A$53 - Settings!$B$4/24) &lt;= A557)*((Data!$B$2:$B$53 + Settings!$B$4/24) &gt; A557))&gt;0)</f>
        <v>1</v>
      </c>
      <c r="E557">
        <f>--(SUMPRODUCT((Data!$C$2:$C$53="K12B")*((Data!$A$2:$A$53 - Settings!$B$4/24) &lt;= A557)*((Data!$B$2:$B$53 + Settings!$B$4/24) &gt; A557))&gt;0)</f>
        <v>0</v>
      </c>
      <c r="F557">
        <f>--(SUMPRODUCT((Data!$C$2:$C$53="TT2")*((Data!$A$2:$A$53 - Settings!$B$4/24) &lt;= A557)*((Data!$B$2:$B$53 + Settings!$B$4/24) &gt; A557))&gt;0)</f>
        <v>1</v>
      </c>
    </row>
    <row r="558" spans="1:6" ht="15.6" x14ac:dyDescent="0.3">
      <c r="A558" s="1">
        <v>45955.167013888888</v>
      </c>
      <c r="B558">
        <f>--(SUMPRODUCT((Data!$C$2:$C$53="K12C")*((Data!$A$2:$A$53 - Settings!$B$4/24) &lt;= A558)*((Data!$B$2:$B$53 + Settings!$B$4/24) &gt; A558))&gt;0)</f>
        <v>1</v>
      </c>
      <c r="C558">
        <f>--(SUMPRODUCT((Data!$C$2:$C$53="K12A")*((Data!$A$2:$A$53 - Settings!$B$4/24) &lt;= A558)*((Data!$B$2:$B$53 + Settings!$B$4/24) &gt; A558))&gt;0)</f>
        <v>1</v>
      </c>
      <c r="D558">
        <f>--(SUMPRODUCT((Data!$C$2:$C$53="K12")*((Data!$A$2:$A$53 - Settings!$B$4/24) &lt;= A558)*((Data!$B$2:$B$53 + Settings!$B$4/24) &gt; A558))&gt;0)</f>
        <v>1</v>
      </c>
      <c r="E558">
        <f>--(SUMPRODUCT((Data!$C$2:$C$53="K12B")*((Data!$A$2:$A$53 - Settings!$B$4/24) &lt;= A558)*((Data!$B$2:$B$53 + Settings!$B$4/24) &gt; A558))&gt;0)</f>
        <v>0</v>
      </c>
      <c r="F558">
        <f>--(SUMPRODUCT((Data!$C$2:$C$53="TT2")*((Data!$A$2:$A$53 - Settings!$B$4/24) &lt;= A558)*((Data!$B$2:$B$53 + Settings!$B$4/24) &gt; A558))&gt;0)</f>
        <v>1</v>
      </c>
    </row>
    <row r="559" spans="1:6" ht="15.6" x14ac:dyDescent="0.3">
      <c r="A559" s="1">
        <v>45955.208680555559</v>
      </c>
      <c r="B559">
        <f>--(SUMPRODUCT((Data!$C$2:$C$53="K12C")*((Data!$A$2:$A$53 - Settings!$B$4/24) &lt;= A559)*((Data!$B$2:$B$53 + Settings!$B$4/24) &gt; A559))&gt;0)</f>
        <v>1</v>
      </c>
      <c r="C559">
        <f>--(SUMPRODUCT((Data!$C$2:$C$53="K12A")*((Data!$A$2:$A$53 - Settings!$B$4/24) &lt;= A559)*((Data!$B$2:$B$53 + Settings!$B$4/24) &gt; A559))&gt;0)</f>
        <v>1</v>
      </c>
      <c r="D559">
        <f>--(SUMPRODUCT((Data!$C$2:$C$53="K12")*((Data!$A$2:$A$53 - Settings!$B$4/24) &lt;= A559)*((Data!$B$2:$B$53 + Settings!$B$4/24) &gt; A559))&gt;0)</f>
        <v>1</v>
      </c>
      <c r="E559">
        <f>--(SUMPRODUCT((Data!$C$2:$C$53="K12B")*((Data!$A$2:$A$53 - Settings!$B$4/24) &lt;= A559)*((Data!$B$2:$B$53 + Settings!$B$4/24) &gt; A559))&gt;0)</f>
        <v>0</v>
      </c>
      <c r="F559">
        <f>--(SUMPRODUCT((Data!$C$2:$C$53="TT2")*((Data!$A$2:$A$53 - Settings!$B$4/24) &lt;= A559)*((Data!$B$2:$B$53 + Settings!$B$4/24) &gt; A559))&gt;0)</f>
        <v>1</v>
      </c>
    </row>
    <row r="560" spans="1:6" ht="15.6" x14ac:dyDescent="0.3">
      <c r="A560" s="1">
        <v>45955.250347222223</v>
      </c>
      <c r="B560">
        <f>--(SUMPRODUCT((Data!$C$2:$C$53="K12C")*((Data!$A$2:$A$53 - Settings!$B$4/24) &lt;= A560)*((Data!$B$2:$B$53 + Settings!$B$4/24) &gt; A560))&gt;0)</f>
        <v>1</v>
      </c>
      <c r="C560">
        <f>--(SUMPRODUCT((Data!$C$2:$C$53="K12A")*((Data!$A$2:$A$53 - Settings!$B$4/24) &lt;= A560)*((Data!$B$2:$B$53 + Settings!$B$4/24) &gt; A560))&gt;0)</f>
        <v>1</v>
      </c>
      <c r="D560">
        <f>--(SUMPRODUCT((Data!$C$2:$C$53="K12")*((Data!$A$2:$A$53 - Settings!$B$4/24) &lt;= A560)*((Data!$B$2:$B$53 + Settings!$B$4/24) &gt; A560))&gt;0)</f>
        <v>1</v>
      </c>
      <c r="E560">
        <f>--(SUMPRODUCT((Data!$C$2:$C$53="K12B")*((Data!$A$2:$A$53 - Settings!$B$4/24) &lt;= A560)*((Data!$B$2:$B$53 + Settings!$B$4/24) &gt; A560))&gt;0)</f>
        <v>0</v>
      </c>
      <c r="F560">
        <f>--(SUMPRODUCT((Data!$C$2:$C$53="TT2")*((Data!$A$2:$A$53 - Settings!$B$4/24) &lt;= A560)*((Data!$B$2:$B$53 + Settings!$B$4/24) &gt; A560))&gt;0)</f>
        <v>1</v>
      </c>
    </row>
    <row r="561" spans="1:6" ht="15.6" x14ac:dyDescent="0.3">
      <c r="A561" s="1">
        <v>45955.292013888888</v>
      </c>
      <c r="B561">
        <f>--(SUMPRODUCT((Data!$C$2:$C$53="K12C")*((Data!$A$2:$A$53 - Settings!$B$4/24) &lt;= A561)*((Data!$B$2:$B$53 + Settings!$B$4/24) &gt; A561))&gt;0)</f>
        <v>1</v>
      </c>
      <c r="C561">
        <f>--(SUMPRODUCT((Data!$C$2:$C$53="K12A")*((Data!$A$2:$A$53 - Settings!$B$4/24) &lt;= A561)*((Data!$B$2:$B$53 + Settings!$B$4/24) &gt; A561))&gt;0)</f>
        <v>1</v>
      </c>
      <c r="D561">
        <f>--(SUMPRODUCT((Data!$C$2:$C$53="K12")*((Data!$A$2:$A$53 - Settings!$B$4/24) &lt;= A561)*((Data!$B$2:$B$53 + Settings!$B$4/24) &gt; A561))&gt;0)</f>
        <v>1</v>
      </c>
      <c r="E561">
        <f>--(SUMPRODUCT((Data!$C$2:$C$53="K12B")*((Data!$A$2:$A$53 - Settings!$B$4/24) &lt;= A561)*((Data!$B$2:$B$53 + Settings!$B$4/24) &gt; A561))&gt;0)</f>
        <v>0</v>
      </c>
      <c r="F561">
        <f>--(SUMPRODUCT((Data!$C$2:$C$53="TT2")*((Data!$A$2:$A$53 - Settings!$B$4/24) &lt;= A561)*((Data!$B$2:$B$53 + Settings!$B$4/24) &gt; A561))&gt;0)</f>
        <v>1</v>
      </c>
    </row>
    <row r="562" spans="1:6" ht="15.6" x14ac:dyDescent="0.3">
      <c r="A562" s="1">
        <v>45955.333680555559</v>
      </c>
      <c r="B562">
        <f>--(SUMPRODUCT((Data!$C$2:$C$53="K12C")*((Data!$A$2:$A$53 - Settings!$B$4/24) &lt;= A562)*((Data!$B$2:$B$53 + Settings!$B$4/24) &gt; A562))&gt;0)</f>
        <v>1</v>
      </c>
      <c r="C562">
        <f>--(SUMPRODUCT((Data!$C$2:$C$53="K12A")*((Data!$A$2:$A$53 - Settings!$B$4/24) &lt;= A562)*((Data!$B$2:$B$53 + Settings!$B$4/24) &gt; A562))&gt;0)</f>
        <v>1</v>
      </c>
      <c r="D562">
        <f>--(SUMPRODUCT((Data!$C$2:$C$53="K12")*((Data!$A$2:$A$53 - Settings!$B$4/24) &lt;= A562)*((Data!$B$2:$B$53 + Settings!$B$4/24) &gt; A562))&gt;0)</f>
        <v>1</v>
      </c>
      <c r="E562">
        <f>--(SUMPRODUCT((Data!$C$2:$C$53="K12B")*((Data!$A$2:$A$53 - Settings!$B$4/24) &lt;= A562)*((Data!$B$2:$B$53 + Settings!$B$4/24) &gt; A562))&gt;0)</f>
        <v>0</v>
      </c>
      <c r="F562">
        <f>--(SUMPRODUCT((Data!$C$2:$C$53="TT2")*((Data!$A$2:$A$53 - Settings!$B$4/24) &lt;= A562)*((Data!$B$2:$B$53 + Settings!$B$4/24) &gt; A562))&gt;0)</f>
        <v>1</v>
      </c>
    </row>
    <row r="563" spans="1:6" ht="15.6" x14ac:dyDescent="0.3">
      <c r="A563" s="1">
        <v>45955.375347222223</v>
      </c>
      <c r="B563">
        <f>--(SUMPRODUCT((Data!$C$2:$C$53="K12C")*((Data!$A$2:$A$53 - Settings!$B$4/24) &lt;= A563)*((Data!$B$2:$B$53 + Settings!$B$4/24) &gt; A563))&gt;0)</f>
        <v>1</v>
      </c>
      <c r="C563">
        <f>--(SUMPRODUCT((Data!$C$2:$C$53="K12A")*((Data!$A$2:$A$53 - Settings!$B$4/24) &lt;= A563)*((Data!$B$2:$B$53 + Settings!$B$4/24) &gt; A563))&gt;0)</f>
        <v>1</v>
      </c>
      <c r="D563">
        <f>--(SUMPRODUCT((Data!$C$2:$C$53="K12")*((Data!$A$2:$A$53 - Settings!$B$4/24) &lt;= A563)*((Data!$B$2:$B$53 + Settings!$B$4/24) &gt; A563))&gt;0)</f>
        <v>1</v>
      </c>
      <c r="E563">
        <f>--(SUMPRODUCT((Data!$C$2:$C$53="K12B")*((Data!$A$2:$A$53 - Settings!$B$4/24) &lt;= A563)*((Data!$B$2:$B$53 + Settings!$B$4/24) &gt; A563))&gt;0)</f>
        <v>0</v>
      </c>
      <c r="F563">
        <f>--(SUMPRODUCT((Data!$C$2:$C$53="TT2")*((Data!$A$2:$A$53 - Settings!$B$4/24) &lt;= A563)*((Data!$B$2:$B$53 + Settings!$B$4/24) &gt; A563))&gt;0)</f>
        <v>1</v>
      </c>
    </row>
    <row r="564" spans="1:6" ht="15.6" x14ac:dyDescent="0.3">
      <c r="A564" s="1">
        <v>45955.417013888888</v>
      </c>
      <c r="B564">
        <f>--(SUMPRODUCT((Data!$C$2:$C$53="K12C")*((Data!$A$2:$A$53 - Settings!$B$4/24) &lt;= A564)*((Data!$B$2:$B$53 + Settings!$B$4/24) &gt; A564))&gt;0)</f>
        <v>1</v>
      </c>
      <c r="C564">
        <f>--(SUMPRODUCT((Data!$C$2:$C$53="K12A")*((Data!$A$2:$A$53 - Settings!$B$4/24) &lt;= A564)*((Data!$B$2:$B$53 + Settings!$B$4/24) &gt; A564))&gt;0)</f>
        <v>1</v>
      </c>
      <c r="D564">
        <f>--(SUMPRODUCT((Data!$C$2:$C$53="K12")*((Data!$A$2:$A$53 - Settings!$B$4/24) &lt;= A564)*((Data!$B$2:$B$53 + Settings!$B$4/24) &gt; A564))&gt;0)</f>
        <v>1</v>
      </c>
      <c r="E564">
        <f>--(SUMPRODUCT((Data!$C$2:$C$53="K12B")*((Data!$A$2:$A$53 - Settings!$B$4/24) &lt;= A564)*((Data!$B$2:$B$53 + Settings!$B$4/24) &gt; A564))&gt;0)</f>
        <v>0</v>
      </c>
      <c r="F564">
        <f>--(SUMPRODUCT((Data!$C$2:$C$53="TT2")*((Data!$A$2:$A$53 - Settings!$B$4/24) &lt;= A564)*((Data!$B$2:$B$53 + Settings!$B$4/24) &gt; A564))&gt;0)</f>
        <v>0</v>
      </c>
    </row>
    <row r="565" spans="1:6" ht="15.6" x14ac:dyDescent="0.3">
      <c r="A565" s="1">
        <v>45955.458680555559</v>
      </c>
      <c r="B565">
        <f>--(SUMPRODUCT((Data!$C$2:$C$53="K12C")*((Data!$A$2:$A$53 - Settings!$B$4/24) &lt;= A565)*((Data!$B$2:$B$53 + Settings!$B$4/24) &gt; A565))&gt;0)</f>
        <v>1</v>
      </c>
      <c r="C565">
        <f>--(SUMPRODUCT((Data!$C$2:$C$53="K12A")*((Data!$A$2:$A$53 - Settings!$B$4/24) &lt;= A565)*((Data!$B$2:$B$53 + Settings!$B$4/24) &gt; A565))&gt;0)</f>
        <v>1</v>
      </c>
      <c r="D565">
        <f>--(SUMPRODUCT((Data!$C$2:$C$53="K12")*((Data!$A$2:$A$53 - Settings!$B$4/24) &lt;= A565)*((Data!$B$2:$B$53 + Settings!$B$4/24) &gt; A565))&gt;0)</f>
        <v>1</v>
      </c>
      <c r="E565">
        <f>--(SUMPRODUCT((Data!$C$2:$C$53="K12B")*((Data!$A$2:$A$53 - Settings!$B$4/24) &lt;= A565)*((Data!$B$2:$B$53 + Settings!$B$4/24) &gt; A565))&gt;0)</f>
        <v>0</v>
      </c>
      <c r="F565">
        <f>--(SUMPRODUCT((Data!$C$2:$C$53="TT2")*((Data!$A$2:$A$53 - Settings!$B$4/24) &lt;= A565)*((Data!$B$2:$B$53 + Settings!$B$4/24) &gt; A565))&gt;0)</f>
        <v>0</v>
      </c>
    </row>
    <row r="566" spans="1:6" ht="15.6" x14ac:dyDescent="0.3">
      <c r="A566" s="1">
        <v>45955.500347222223</v>
      </c>
      <c r="B566">
        <f>--(SUMPRODUCT((Data!$C$2:$C$53="K12C")*((Data!$A$2:$A$53 - Settings!$B$4/24) &lt;= A566)*((Data!$B$2:$B$53 + Settings!$B$4/24) &gt; A566))&gt;0)</f>
        <v>1</v>
      </c>
      <c r="C566">
        <f>--(SUMPRODUCT((Data!$C$2:$C$53="K12A")*((Data!$A$2:$A$53 - Settings!$B$4/24) &lt;= A566)*((Data!$B$2:$B$53 + Settings!$B$4/24) &gt; A566))&gt;0)</f>
        <v>1</v>
      </c>
      <c r="D566">
        <f>--(SUMPRODUCT((Data!$C$2:$C$53="K12")*((Data!$A$2:$A$53 - Settings!$B$4/24) &lt;= A566)*((Data!$B$2:$B$53 + Settings!$B$4/24) &gt; A566))&gt;0)</f>
        <v>1</v>
      </c>
      <c r="E566">
        <f>--(SUMPRODUCT((Data!$C$2:$C$53="K12B")*((Data!$A$2:$A$53 - Settings!$B$4/24) &lt;= A566)*((Data!$B$2:$B$53 + Settings!$B$4/24) &gt; A566))&gt;0)</f>
        <v>0</v>
      </c>
      <c r="F566">
        <f>--(SUMPRODUCT((Data!$C$2:$C$53="TT2")*((Data!$A$2:$A$53 - Settings!$B$4/24) &lt;= A566)*((Data!$B$2:$B$53 + Settings!$B$4/24) &gt; A566))&gt;0)</f>
        <v>0</v>
      </c>
    </row>
    <row r="567" spans="1:6" ht="15.6" x14ac:dyDescent="0.3">
      <c r="A567" s="1">
        <v>45955.542013888888</v>
      </c>
      <c r="B567">
        <f>--(SUMPRODUCT((Data!$C$2:$C$53="K12C")*((Data!$A$2:$A$53 - Settings!$B$4/24) &lt;= A567)*((Data!$B$2:$B$53 + Settings!$B$4/24) &gt; A567))&gt;0)</f>
        <v>1</v>
      </c>
      <c r="C567">
        <f>--(SUMPRODUCT((Data!$C$2:$C$53="K12A")*((Data!$A$2:$A$53 - Settings!$B$4/24) &lt;= A567)*((Data!$B$2:$B$53 + Settings!$B$4/24) &gt; A567))&gt;0)</f>
        <v>1</v>
      </c>
      <c r="D567">
        <f>--(SUMPRODUCT((Data!$C$2:$C$53="K12")*((Data!$A$2:$A$53 - Settings!$B$4/24) &lt;= A567)*((Data!$B$2:$B$53 + Settings!$B$4/24) &gt; A567))&gt;0)</f>
        <v>1</v>
      </c>
      <c r="E567">
        <f>--(SUMPRODUCT((Data!$C$2:$C$53="K12B")*((Data!$A$2:$A$53 - Settings!$B$4/24) &lt;= A567)*((Data!$B$2:$B$53 + Settings!$B$4/24) &gt; A567))&gt;0)</f>
        <v>0</v>
      </c>
      <c r="F567">
        <f>--(SUMPRODUCT((Data!$C$2:$C$53="TT2")*((Data!$A$2:$A$53 - Settings!$B$4/24) &lt;= A567)*((Data!$B$2:$B$53 + Settings!$B$4/24) &gt; A567))&gt;0)</f>
        <v>0</v>
      </c>
    </row>
    <row r="568" spans="1:6" ht="15.6" x14ac:dyDescent="0.3">
      <c r="A568" s="1">
        <v>45955.583680555559</v>
      </c>
      <c r="B568">
        <f>--(SUMPRODUCT((Data!$C$2:$C$53="K12C")*((Data!$A$2:$A$53 - Settings!$B$4/24) &lt;= A568)*((Data!$B$2:$B$53 + Settings!$B$4/24) &gt; A568))&gt;0)</f>
        <v>1</v>
      </c>
      <c r="C568">
        <f>--(SUMPRODUCT((Data!$C$2:$C$53="K12A")*((Data!$A$2:$A$53 - Settings!$B$4/24) &lt;= A568)*((Data!$B$2:$B$53 + Settings!$B$4/24) &gt; A568))&gt;0)</f>
        <v>1</v>
      </c>
      <c r="D568">
        <f>--(SUMPRODUCT((Data!$C$2:$C$53="K12")*((Data!$A$2:$A$53 - Settings!$B$4/24) &lt;= A568)*((Data!$B$2:$B$53 + Settings!$B$4/24) &gt; A568))&gt;0)</f>
        <v>1</v>
      </c>
      <c r="E568">
        <f>--(SUMPRODUCT((Data!$C$2:$C$53="K12B")*((Data!$A$2:$A$53 - Settings!$B$4/24) &lt;= A568)*((Data!$B$2:$B$53 + Settings!$B$4/24) &gt; A568))&gt;0)</f>
        <v>0</v>
      </c>
      <c r="F568">
        <f>--(SUMPRODUCT((Data!$C$2:$C$53="TT2")*((Data!$A$2:$A$53 - Settings!$B$4/24) &lt;= A568)*((Data!$B$2:$B$53 + Settings!$B$4/24) &gt; A568))&gt;0)</f>
        <v>0</v>
      </c>
    </row>
    <row r="569" spans="1:6" ht="15.6" x14ac:dyDescent="0.3">
      <c r="A569" s="1">
        <v>45955.625347222223</v>
      </c>
      <c r="B569">
        <f>--(SUMPRODUCT((Data!$C$2:$C$53="K12C")*((Data!$A$2:$A$53 - Settings!$B$4/24) &lt;= A569)*((Data!$B$2:$B$53 + Settings!$B$4/24) &gt; A569))&gt;0)</f>
        <v>1</v>
      </c>
      <c r="C569">
        <f>--(SUMPRODUCT((Data!$C$2:$C$53="K12A")*((Data!$A$2:$A$53 - Settings!$B$4/24) &lt;= A569)*((Data!$B$2:$B$53 + Settings!$B$4/24) &gt; A569))&gt;0)</f>
        <v>1</v>
      </c>
      <c r="D569">
        <f>--(SUMPRODUCT((Data!$C$2:$C$53="K12")*((Data!$A$2:$A$53 - Settings!$B$4/24) &lt;= A569)*((Data!$B$2:$B$53 + Settings!$B$4/24) &gt; A569))&gt;0)</f>
        <v>1</v>
      </c>
      <c r="E569">
        <f>--(SUMPRODUCT((Data!$C$2:$C$53="K12B")*((Data!$A$2:$A$53 - Settings!$B$4/24) &lt;= A569)*((Data!$B$2:$B$53 + Settings!$B$4/24) &gt; A569))&gt;0)</f>
        <v>1</v>
      </c>
      <c r="F569">
        <f>--(SUMPRODUCT((Data!$C$2:$C$53="TT2")*((Data!$A$2:$A$53 - Settings!$B$4/24) &lt;= A569)*((Data!$B$2:$B$53 + Settings!$B$4/24) &gt; A569))&gt;0)</f>
        <v>0</v>
      </c>
    </row>
    <row r="570" spans="1:6" ht="15.6" x14ac:dyDescent="0.3">
      <c r="A570" s="1">
        <v>45955.667013888888</v>
      </c>
      <c r="B570">
        <f>--(SUMPRODUCT((Data!$C$2:$C$53="K12C")*((Data!$A$2:$A$53 - Settings!$B$4/24) &lt;= A570)*((Data!$B$2:$B$53 + Settings!$B$4/24) &gt; A570))&gt;0)</f>
        <v>1</v>
      </c>
      <c r="C570">
        <f>--(SUMPRODUCT((Data!$C$2:$C$53="K12A")*((Data!$A$2:$A$53 - Settings!$B$4/24) &lt;= A570)*((Data!$B$2:$B$53 + Settings!$B$4/24) &gt; A570))&gt;0)</f>
        <v>1</v>
      </c>
      <c r="D570">
        <f>--(SUMPRODUCT((Data!$C$2:$C$53="K12")*((Data!$A$2:$A$53 - Settings!$B$4/24) &lt;= A570)*((Data!$B$2:$B$53 + Settings!$B$4/24) &gt; A570))&gt;0)</f>
        <v>1</v>
      </c>
      <c r="E570">
        <f>--(SUMPRODUCT((Data!$C$2:$C$53="K12B")*((Data!$A$2:$A$53 - Settings!$B$4/24) &lt;= A570)*((Data!$B$2:$B$53 + Settings!$B$4/24) &gt; A570))&gt;0)</f>
        <v>1</v>
      </c>
      <c r="F570">
        <f>--(SUMPRODUCT((Data!$C$2:$C$53="TT2")*((Data!$A$2:$A$53 - Settings!$B$4/24) &lt;= A570)*((Data!$B$2:$B$53 + Settings!$B$4/24) &gt; A570))&gt;0)</f>
        <v>0</v>
      </c>
    </row>
    <row r="571" spans="1:6" ht="15.6" x14ac:dyDescent="0.3">
      <c r="A571" s="1">
        <v>45955.708680555559</v>
      </c>
      <c r="B571">
        <f>--(SUMPRODUCT((Data!$C$2:$C$53="K12C")*((Data!$A$2:$A$53 - Settings!$B$4/24) &lt;= A571)*((Data!$B$2:$B$53 + Settings!$B$4/24) &gt; A571))&gt;0)</f>
        <v>1</v>
      </c>
      <c r="C571">
        <f>--(SUMPRODUCT((Data!$C$2:$C$53="K12A")*((Data!$A$2:$A$53 - Settings!$B$4/24) &lt;= A571)*((Data!$B$2:$B$53 + Settings!$B$4/24) &gt; A571))&gt;0)</f>
        <v>1</v>
      </c>
      <c r="D571">
        <f>--(SUMPRODUCT((Data!$C$2:$C$53="K12")*((Data!$A$2:$A$53 - Settings!$B$4/24) &lt;= A571)*((Data!$B$2:$B$53 + Settings!$B$4/24) &gt; A571))&gt;0)</f>
        <v>1</v>
      </c>
      <c r="E571">
        <f>--(SUMPRODUCT((Data!$C$2:$C$53="K12B")*((Data!$A$2:$A$53 - Settings!$B$4/24) &lt;= A571)*((Data!$B$2:$B$53 + Settings!$B$4/24) &gt; A571))&gt;0)</f>
        <v>1</v>
      </c>
      <c r="F571">
        <f>--(SUMPRODUCT((Data!$C$2:$C$53="TT2")*((Data!$A$2:$A$53 - Settings!$B$4/24) &lt;= A571)*((Data!$B$2:$B$53 + Settings!$B$4/24) &gt; A571))&gt;0)</f>
        <v>0</v>
      </c>
    </row>
    <row r="572" spans="1:6" ht="15.6" x14ac:dyDescent="0.3">
      <c r="A572" s="1">
        <v>45955.750347222223</v>
      </c>
      <c r="B572">
        <f>--(SUMPRODUCT((Data!$C$2:$C$53="K12C")*((Data!$A$2:$A$53 - Settings!$B$4/24) &lt;= A572)*((Data!$B$2:$B$53 + Settings!$B$4/24) &gt; A572))&gt;0)</f>
        <v>1</v>
      </c>
      <c r="C572">
        <f>--(SUMPRODUCT((Data!$C$2:$C$53="K12A")*((Data!$A$2:$A$53 - Settings!$B$4/24) &lt;= A572)*((Data!$B$2:$B$53 + Settings!$B$4/24) &gt; A572))&gt;0)</f>
        <v>1</v>
      </c>
      <c r="D572">
        <f>--(SUMPRODUCT((Data!$C$2:$C$53="K12")*((Data!$A$2:$A$53 - Settings!$B$4/24) &lt;= A572)*((Data!$B$2:$B$53 + Settings!$B$4/24) &gt; A572))&gt;0)</f>
        <v>1</v>
      </c>
      <c r="E572">
        <f>--(SUMPRODUCT((Data!$C$2:$C$53="K12B")*((Data!$A$2:$A$53 - Settings!$B$4/24) &lt;= A572)*((Data!$B$2:$B$53 + Settings!$B$4/24) &gt; A572))&gt;0)</f>
        <v>1</v>
      </c>
      <c r="F572">
        <f>--(SUMPRODUCT((Data!$C$2:$C$53="TT2")*((Data!$A$2:$A$53 - Settings!$B$4/24) &lt;= A572)*((Data!$B$2:$B$53 + Settings!$B$4/24) &gt; A572))&gt;0)</f>
        <v>0</v>
      </c>
    </row>
    <row r="573" spans="1:6" ht="15.6" x14ac:dyDescent="0.3">
      <c r="A573" s="1">
        <v>45955.792013888888</v>
      </c>
      <c r="B573">
        <f>--(SUMPRODUCT((Data!$C$2:$C$53="K12C")*((Data!$A$2:$A$53 - Settings!$B$4/24) &lt;= A573)*((Data!$B$2:$B$53 + Settings!$B$4/24) &gt; A573))&gt;0)</f>
        <v>1</v>
      </c>
      <c r="C573">
        <f>--(SUMPRODUCT((Data!$C$2:$C$53="K12A")*((Data!$A$2:$A$53 - Settings!$B$4/24) &lt;= A573)*((Data!$B$2:$B$53 + Settings!$B$4/24) &gt; A573))&gt;0)</f>
        <v>1</v>
      </c>
      <c r="D573">
        <f>--(SUMPRODUCT((Data!$C$2:$C$53="K12")*((Data!$A$2:$A$53 - Settings!$B$4/24) &lt;= A573)*((Data!$B$2:$B$53 + Settings!$B$4/24) &gt; A573))&gt;0)</f>
        <v>1</v>
      </c>
      <c r="E573">
        <f>--(SUMPRODUCT((Data!$C$2:$C$53="K12B")*((Data!$A$2:$A$53 - Settings!$B$4/24) &lt;= A573)*((Data!$B$2:$B$53 + Settings!$B$4/24) &gt; A573))&gt;0)</f>
        <v>1</v>
      </c>
      <c r="F573">
        <f>--(SUMPRODUCT((Data!$C$2:$C$53="TT2")*((Data!$A$2:$A$53 - Settings!$B$4/24) &lt;= A573)*((Data!$B$2:$B$53 + Settings!$B$4/24) &gt; A573))&gt;0)</f>
        <v>0</v>
      </c>
    </row>
    <row r="574" spans="1:6" ht="15.6" x14ac:dyDescent="0.3">
      <c r="A574" s="1">
        <v>45955.833680555559</v>
      </c>
      <c r="B574">
        <f>--(SUMPRODUCT((Data!$C$2:$C$53="K12C")*((Data!$A$2:$A$53 - Settings!$B$4/24) &lt;= A574)*((Data!$B$2:$B$53 + Settings!$B$4/24) &gt; A574))&gt;0)</f>
        <v>1</v>
      </c>
      <c r="C574">
        <f>--(SUMPRODUCT((Data!$C$2:$C$53="K12A")*((Data!$A$2:$A$53 - Settings!$B$4/24) &lt;= A574)*((Data!$B$2:$B$53 + Settings!$B$4/24) &gt; A574))&gt;0)</f>
        <v>1</v>
      </c>
      <c r="D574">
        <f>--(SUMPRODUCT((Data!$C$2:$C$53="K12")*((Data!$A$2:$A$53 - Settings!$B$4/24) &lt;= A574)*((Data!$B$2:$B$53 + Settings!$B$4/24) &gt; A574))&gt;0)</f>
        <v>1</v>
      </c>
      <c r="E574">
        <f>--(SUMPRODUCT((Data!$C$2:$C$53="K12B")*((Data!$A$2:$A$53 - Settings!$B$4/24) &lt;= A574)*((Data!$B$2:$B$53 + Settings!$B$4/24) &gt; A574))&gt;0)</f>
        <v>1</v>
      </c>
      <c r="F574">
        <f>--(SUMPRODUCT((Data!$C$2:$C$53="TT2")*((Data!$A$2:$A$53 - Settings!$B$4/24) &lt;= A574)*((Data!$B$2:$B$53 + Settings!$B$4/24) &gt; A574))&gt;0)</f>
        <v>0</v>
      </c>
    </row>
    <row r="575" spans="1:6" ht="15.6" x14ac:dyDescent="0.3">
      <c r="A575" s="1">
        <v>45955.875347222223</v>
      </c>
      <c r="B575">
        <f>--(SUMPRODUCT((Data!$C$2:$C$53="K12C")*((Data!$A$2:$A$53 - Settings!$B$4/24) &lt;= A575)*((Data!$B$2:$B$53 + Settings!$B$4/24) &gt; A575))&gt;0)</f>
        <v>1</v>
      </c>
      <c r="C575">
        <f>--(SUMPRODUCT((Data!$C$2:$C$53="K12A")*((Data!$A$2:$A$53 - Settings!$B$4/24) &lt;= A575)*((Data!$B$2:$B$53 + Settings!$B$4/24) &gt; A575))&gt;0)</f>
        <v>1</v>
      </c>
      <c r="D575">
        <f>--(SUMPRODUCT((Data!$C$2:$C$53="K12")*((Data!$A$2:$A$53 - Settings!$B$4/24) &lt;= A575)*((Data!$B$2:$B$53 + Settings!$B$4/24) &gt; A575))&gt;0)</f>
        <v>1</v>
      </c>
      <c r="E575">
        <f>--(SUMPRODUCT((Data!$C$2:$C$53="K12B")*((Data!$A$2:$A$53 - Settings!$B$4/24) &lt;= A575)*((Data!$B$2:$B$53 + Settings!$B$4/24) &gt; A575))&gt;0)</f>
        <v>1</v>
      </c>
      <c r="F575">
        <f>--(SUMPRODUCT((Data!$C$2:$C$53="TT2")*((Data!$A$2:$A$53 - Settings!$B$4/24) &lt;= A575)*((Data!$B$2:$B$53 + Settings!$B$4/24) &gt; A575))&gt;0)</f>
        <v>0</v>
      </c>
    </row>
    <row r="576" spans="1:6" ht="15.6" x14ac:dyDescent="0.3">
      <c r="A576" s="1">
        <v>45955.917013888888</v>
      </c>
      <c r="B576">
        <f>--(SUMPRODUCT((Data!$C$2:$C$53="K12C")*((Data!$A$2:$A$53 - Settings!$B$4/24) &lt;= A576)*((Data!$B$2:$B$53 + Settings!$B$4/24) &gt; A576))&gt;0)</f>
        <v>1</v>
      </c>
      <c r="C576">
        <f>--(SUMPRODUCT((Data!$C$2:$C$53="K12A")*((Data!$A$2:$A$53 - Settings!$B$4/24) &lt;= A576)*((Data!$B$2:$B$53 + Settings!$B$4/24) &gt; A576))&gt;0)</f>
        <v>1</v>
      </c>
      <c r="D576">
        <f>--(SUMPRODUCT((Data!$C$2:$C$53="K12")*((Data!$A$2:$A$53 - Settings!$B$4/24) &lt;= A576)*((Data!$B$2:$B$53 + Settings!$B$4/24) &gt; A576))&gt;0)</f>
        <v>1</v>
      </c>
      <c r="E576">
        <f>--(SUMPRODUCT((Data!$C$2:$C$53="K12B")*((Data!$A$2:$A$53 - Settings!$B$4/24) &lt;= A576)*((Data!$B$2:$B$53 + Settings!$B$4/24) &gt; A576))&gt;0)</f>
        <v>1</v>
      </c>
      <c r="F576">
        <f>--(SUMPRODUCT((Data!$C$2:$C$53="TT2")*((Data!$A$2:$A$53 - Settings!$B$4/24) &lt;= A576)*((Data!$B$2:$B$53 + Settings!$B$4/24) &gt; A576))&gt;0)</f>
        <v>0</v>
      </c>
    </row>
    <row r="577" spans="1:6" ht="15.6" x14ac:dyDescent="0.3">
      <c r="A577" s="1">
        <v>45955.958680555559</v>
      </c>
      <c r="B577">
        <f>--(SUMPRODUCT((Data!$C$2:$C$53="K12C")*((Data!$A$2:$A$53 - Settings!$B$4/24) &lt;= A577)*((Data!$B$2:$B$53 + Settings!$B$4/24) &gt; A577))&gt;0)</f>
        <v>0</v>
      </c>
      <c r="C577">
        <f>--(SUMPRODUCT((Data!$C$2:$C$53="K12A")*((Data!$A$2:$A$53 - Settings!$B$4/24) &lt;= A577)*((Data!$B$2:$B$53 + Settings!$B$4/24) &gt; A577))&gt;0)</f>
        <v>1</v>
      </c>
      <c r="D577">
        <f>--(SUMPRODUCT((Data!$C$2:$C$53="K12")*((Data!$A$2:$A$53 - Settings!$B$4/24) &lt;= A577)*((Data!$B$2:$B$53 + Settings!$B$4/24) &gt; A577))&gt;0)</f>
        <v>1</v>
      </c>
      <c r="E577">
        <f>--(SUMPRODUCT((Data!$C$2:$C$53="K12B")*((Data!$A$2:$A$53 - Settings!$B$4/24) &lt;= A577)*((Data!$B$2:$B$53 + Settings!$B$4/24) &gt; A577))&gt;0)</f>
        <v>1</v>
      </c>
      <c r="F577">
        <f>--(SUMPRODUCT((Data!$C$2:$C$53="TT2")*((Data!$A$2:$A$53 - Settings!$B$4/24) &lt;= A577)*((Data!$B$2:$B$53 + Settings!$B$4/24) &gt; A577))&gt;0)</f>
        <v>0</v>
      </c>
    </row>
    <row r="578" spans="1:6" ht="15.6" x14ac:dyDescent="0.3">
      <c r="A578" s="1">
        <v>45956.000347222223</v>
      </c>
      <c r="B578">
        <f>--(SUMPRODUCT((Data!$C$2:$C$53="K12C")*((Data!$A$2:$A$53 - Settings!$B$4/24) &lt;= A578)*((Data!$B$2:$B$53 + Settings!$B$4/24) &gt; A578))&gt;0)</f>
        <v>0</v>
      </c>
      <c r="C578">
        <f>--(SUMPRODUCT((Data!$C$2:$C$53="K12A")*((Data!$A$2:$A$53 - Settings!$B$4/24) &lt;= A578)*((Data!$B$2:$B$53 + Settings!$B$4/24) &gt; A578))&gt;0)</f>
        <v>1</v>
      </c>
      <c r="D578">
        <f>--(SUMPRODUCT((Data!$C$2:$C$53="K12")*((Data!$A$2:$A$53 - Settings!$B$4/24) &lt;= A578)*((Data!$B$2:$B$53 + Settings!$B$4/24) &gt; A578))&gt;0)</f>
        <v>1</v>
      </c>
      <c r="E578">
        <f>--(SUMPRODUCT((Data!$C$2:$C$53="K12B")*((Data!$A$2:$A$53 - Settings!$B$4/24) &lt;= A578)*((Data!$B$2:$B$53 + Settings!$B$4/24) &gt; A578))&gt;0)</f>
        <v>1</v>
      </c>
      <c r="F578">
        <f>--(SUMPRODUCT((Data!$C$2:$C$53="TT2")*((Data!$A$2:$A$53 - Settings!$B$4/24) &lt;= A578)*((Data!$B$2:$B$53 + Settings!$B$4/24) &gt; A578))&gt;0)</f>
        <v>0</v>
      </c>
    </row>
    <row r="579" spans="1:6" ht="15.6" x14ac:dyDescent="0.3">
      <c r="A579" s="1">
        <v>45956.042013888888</v>
      </c>
      <c r="B579">
        <f>--(SUMPRODUCT((Data!$C$2:$C$53="K12C")*((Data!$A$2:$A$53 - Settings!$B$4/24) &lt;= A579)*((Data!$B$2:$B$53 + Settings!$B$4/24) &gt; A579))&gt;0)</f>
        <v>0</v>
      </c>
      <c r="C579">
        <f>--(SUMPRODUCT((Data!$C$2:$C$53="K12A")*((Data!$A$2:$A$53 - Settings!$B$4/24) &lt;= A579)*((Data!$B$2:$B$53 + Settings!$B$4/24) &gt; A579))&gt;0)</f>
        <v>1</v>
      </c>
      <c r="D579">
        <f>--(SUMPRODUCT((Data!$C$2:$C$53="K12")*((Data!$A$2:$A$53 - Settings!$B$4/24) &lt;= A579)*((Data!$B$2:$B$53 + Settings!$B$4/24) &gt; A579))&gt;0)</f>
        <v>1</v>
      </c>
      <c r="E579">
        <f>--(SUMPRODUCT((Data!$C$2:$C$53="K12B")*((Data!$A$2:$A$53 - Settings!$B$4/24) &lt;= A579)*((Data!$B$2:$B$53 + Settings!$B$4/24) &gt; A579))&gt;0)</f>
        <v>1</v>
      </c>
      <c r="F579">
        <f>--(SUMPRODUCT((Data!$C$2:$C$53="TT2")*((Data!$A$2:$A$53 - Settings!$B$4/24) &lt;= A579)*((Data!$B$2:$B$53 + Settings!$B$4/24) &gt; A579))&gt;0)</f>
        <v>0</v>
      </c>
    </row>
    <row r="580" spans="1:6" ht="15.6" x14ac:dyDescent="0.3">
      <c r="A580" s="1">
        <v>45956.083680555559</v>
      </c>
      <c r="B580">
        <f>--(SUMPRODUCT((Data!$C$2:$C$53="K12C")*((Data!$A$2:$A$53 - Settings!$B$4/24) &lt;= A580)*((Data!$B$2:$B$53 + Settings!$B$4/24) &gt; A580))&gt;0)</f>
        <v>0</v>
      </c>
      <c r="C580">
        <f>--(SUMPRODUCT((Data!$C$2:$C$53="K12A")*((Data!$A$2:$A$53 - Settings!$B$4/24) &lt;= A580)*((Data!$B$2:$B$53 + Settings!$B$4/24) &gt; A580))&gt;0)</f>
        <v>1</v>
      </c>
      <c r="D580">
        <f>--(SUMPRODUCT((Data!$C$2:$C$53="K12")*((Data!$A$2:$A$53 - Settings!$B$4/24) &lt;= A580)*((Data!$B$2:$B$53 + Settings!$B$4/24) &gt; A580))&gt;0)</f>
        <v>1</v>
      </c>
      <c r="E580">
        <f>--(SUMPRODUCT((Data!$C$2:$C$53="K12B")*((Data!$A$2:$A$53 - Settings!$B$4/24) &lt;= A580)*((Data!$B$2:$B$53 + Settings!$B$4/24) &gt; A580))&gt;0)</f>
        <v>1</v>
      </c>
      <c r="F580">
        <f>--(SUMPRODUCT((Data!$C$2:$C$53="TT2")*((Data!$A$2:$A$53 - Settings!$B$4/24) &lt;= A580)*((Data!$B$2:$B$53 + Settings!$B$4/24) &gt; A580))&gt;0)</f>
        <v>0</v>
      </c>
    </row>
    <row r="581" spans="1:6" ht="15.6" x14ac:dyDescent="0.3">
      <c r="A581" s="1">
        <v>45956.125347222223</v>
      </c>
      <c r="B581">
        <f>--(SUMPRODUCT((Data!$C$2:$C$53="K12C")*((Data!$A$2:$A$53 - Settings!$B$4/24) &lt;= A581)*((Data!$B$2:$B$53 + Settings!$B$4/24) &gt; A581))&gt;0)</f>
        <v>0</v>
      </c>
      <c r="C581">
        <f>--(SUMPRODUCT((Data!$C$2:$C$53="K12A")*((Data!$A$2:$A$53 - Settings!$B$4/24) &lt;= A581)*((Data!$B$2:$B$53 + Settings!$B$4/24) &gt; A581))&gt;0)</f>
        <v>1</v>
      </c>
      <c r="D581">
        <f>--(SUMPRODUCT((Data!$C$2:$C$53="K12")*((Data!$A$2:$A$53 - Settings!$B$4/24) &lt;= A581)*((Data!$B$2:$B$53 + Settings!$B$4/24) &gt; A581))&gt;0)</f>
        <v>1</v>
      </c>
      <c r="E581">
        <f>--(SUMPRODUCT((Data!$C$2:$C$53="K12B")*((Data!$A$2:$A$53 - Settings!$B$4/24) &lt;= A581)*((Data!$B$2:$B$53 + Settings!$B$4/24) &gt; A581))&gt;0)</f>
        <v>1</v>
      </c>
      <c r="F581">
        <f>--(SUMPRODUCT((Data!$C$2:$C$53="TT2")*((Data!$A$2:$A$53 - Settings!$B$4/24) &lt;= A581)*((Data!$B$2:$B$53 + Settings!$B$4/24) &gt; A581))&gt;0)</f>
        <v>0</v>
      </c>
    </row>
    <row r="582" spans="1:6" ht="15.6" x14ac:dyDescent="0.3">
      <c r="A582" s="1">
        <v>45956.167013888888</v>
      </c>
      <c r="B582">
        <f>--(SUMPRODUCT((Data!$C$2:$C$53="K12C")*((Data!$A$2:$A$53 - Settings!$B$4/24) &lt;= A582)*((Data!$B$2:$B$53 + Settings!$B$4/24) &gt; A582))&gt;0)</f>
        <v>0</v>
      </c>
      <c r="C582">
        <f>--(SUMPRODUCT((Data!$C$2:$C$53="K12A")*((Data!$A$2:$A$53 - Settings!$B$4/24) &lt;= A582)*((Data!$B$2:$B$53 + Settings!$B$4/24) &gt; A582))&gt;0)</f>
        <v>1</v>
      </c>
      <c r="D582">
        <f>--(SUMPRODUCT((Data!$C$2:$C$53="K12")*((Data!$A$2:$A$53 - Settings!$B$4/24) &lt;= A582)*((Data!$B$2:$B$53 + Settings!$B$4/24) &gt; A582))&gt;0)</f>
        <v>1</v>
      </c>
      <c r="E582">
        <f>--(SUMPRODUCT((Data!$C$2:$C$53="K12B")*((Data!$A$2:$A$53 - Settings!$B$4/24) &lt;= A582)*((Data!$B$2:$B$53 + Settings!$B$4/24) &gt; A582))&gt;0)</f>
        <v>1</v>
      </c>
      <c r="F582">
        <f>--(SUMPRODUCT((Data!$C$2:$C$53="TT2")*((Data!$A$2:$A$53 - Settings!$B$4/24) &lt;= A582)*((Data!$B$2:$B$53 + Settings!$B$4/24) &gt; A582))&gt;0)</f>
        <v>0</v>
      </c>
    </row>
    <row r="583" spans="1:6" ht="15.6" x14ac:dyDescent="0.3">
      <c r="A583" s="1">
        <v>45956.208680555559</v>
      </c>
      <c r="B583">
        <f>--(SUMPRODUCT((Data!$C$2:$C$53="K12C")*((Data!$A$2:$A$53 - Settings!$B$4/24) &lt;= A583)*((Data!$B$2:$B$53 + Settings!$B$4/24) &gt; A583))&gt;0)</f>
        <v>0</v>
      </c>
      <c r="C583">
        <f>--(SUMPRODUCT((Data!$C$2:$C$53="K12A")*((Data!$A$2:$A$53 - Settings!$B$4/24) &lt;= A583)*((Data!$B$2:$B$53 + Settings!$B$4/24) &gt; A583))&gt;0)</f>
        <v>1</v>
      </c>
      <c r="D583">
        <f>--(SUMPRODUCT((Data!$C$2:$C$53="K12")*((Data!$A$2:$A$53 - Settings!$B$4/24) &lt;= A583)*((Data!$B$2:$B$53 + Settings!$B$4/24) &gt; A583))&gt;0)</f>
        <v>1</v>
      </c>
      <c r="E583">
        <f>--(SUMPRODUCT((Data!$C$2:$C$53="K12B")*((Data!$A$2:$A$53 - Settings!$B$4/24) &lt;= A583)*((Data!$B$2:$B$53 + Settings!$B$4/24) &gt; A583))&gt;0)</f>
        <v>1</v>
      </c>
      <c r="F583">
        <f>--(SUMPRODUCT((Data!$C$2:$C$53="TT2")*((Data!$A$2:$A$53 - Settings!$B$4/24) &lt;= A583)*((Data!$B$2:$B$53 + Settings!$B$4/24) &gt; A583))&gt;0)</f>
        <v>0</v>
      </c>
    </row>
    <row r="584" spans="1:6" ht="15.6" x14ac:dyDescent="0.3">
      <c r="A584" s="1">
        <v>45956.250347222223</v>
      </c>
      <c r="B584">
        <f>--(SUMPRODUCT((Data!$C$2:$C$53="K12C")*((Data!$A$2:$A$53 - Settings!$B$4/24) &lt;= A584)*((Data!$B$2:$B$53 + Settings!$B$4/24) &gt; A584))&gt;0)</f>
        <v>0</v>
      </c>
      <c r="C584">
        <f>--(SUMPRODUCT((Data!$C$2:$C$53="K12A")*((Data!$A$2:$A$53 - Settings!$B$4/24) &lt;= A584)*((Data!$B$2:$B$53 + Settings!$B$4/24) &gt; A584))&gt;0)</f>
        <v>1</v>
      </c>
      <c r="D584">
        <f>--(SUMPRODUCT((Data!$C$2:$C$53="K12")*((Data!$A$2:$A$53 - Settings!$B$4/24) &lt;= A584)*((Data!$B$2:$B$53 + Settings!$B$4/24) &gt; A584))&gt;0)</f>
        <v>1</v>
      </c>
      <c r="E584">
        <f>--(SUMPRODUCT((Data!$C$2:$C$53="K12B")*((Data!$A$2:$A$53 - Settings!$B$4/24) &lt;= A584)*((Data!$B$2:$B$53 + Settings!$B$4/24) &gt; A584))&gt;0)</f>
        <v>1</v>
      </c>
      <c r="F584">
        <f>--(SUMPRODUCT((Data!$C$2:$C$53="TT2")*((Data!$A$2:$A$53 - Settings!$B$4/24) &lt;= A584)*((Data!$B$2:$B$53 + Settings!$B$4/24) &gt; A584))&gt;0)</f>
        <v>0</v>
      </c>
    </row>
    <row r="585" spans="1:6" ht="15.6" x14ac:dyDescent="0.3">
      <c r="A585" s="1">
        <v>45956.292013888888</v>
      </c>
      <c r="B585">
        <f>--(SUMPRODUCT((Data!$C$2:$C$53="K12C")*((Data!$A$2:$A$53 - Settings!$B$4/24) &lt;= A585)*((Data!$B$2:$B$53 + Settings!$B$4/24) &gt; A585))&gt;0)</f>
        <v>0</v>
      </c>
      <c r="C585">
        <f>--(SUMPRODUCT((Data!$C$2:$C$53="K12A")*((Data!$A$2:$A$53 - Settings!$B$4/24) &lt;= A585)*((Data!$B$2:$B$53 + Settings!$B$4/24) &gt; A585))&gt;0)</f>
        <v>1</v>
      </c>
      <c r="D585">
        <f>--(SUMPRODUCT((Data!$C$2:$C$53="K12")*((Data!$A$2:$A$53 - Settings!$B$4/24) &lt;= A585)*((Data!$B$2:$B$53 + Settings!$B$4/24) &gt; A585))&gt;0)</f>
        <v>1</v>
      </c>
      <c r="E585">
        <f>--(SUMPRODUCT((Data!$C$2:$C$53="K12B")*((Data!$A$2:$A$53 - Settings!$B$4/24) &lt;= A585)*((Data!$B$2:$B$53 + Settings!$B$4/24) &gt; A585))&gt;0)</f>
        <v>1</v>
      </c>
      <c r="F585">
        <f>--(SUMPRODUCT((Data!$C$2:$C$53="TT2")*((Data!$A$2:$A$53 - Settings!$B$4/24) &lt;= A585)*((Data!$B$2:$B$53 + Settings!$B$4/24) &gt; A585))&gt;0)</f>
        <v>0</v>
      </c>
    </row>
    <row r="586" spans="1:6" ht="15.6" x14ac:dyDescent="0.3">
      <c r="A586" s="1">
        <v>45956.333680555559</v>
      </c>
      <c r="B586">
        <f>--(SUMPRODUCT((Data!$C$2:$C$53="K12C")*((Data!$A$2:$A$53 - Settings!$B$4/24) &lt;= A586)*((Data!$B$2:$B$53 + Settings!$B$4/24) &gt; A586))&gt;0)</f>
        <v>0</v>
      </c>
      <c r="C586">
        <f>--(SUMPRODUCT((Data!$C$2:$C$53="K12A")*((Data!$A$2:$A$53 - Settings!$B$4/24) &lt;= A586)*((Data!$B$2:$B$53 + Settings!$B$4/24) &gt; A586))&gt;0)</f>
        <v>1</v>
      </c>
      <c r="D586">
        <f>--(SUMPRODUCT((Data!$C$2:$C$53="K12")*((Data!$A$2:$A$53 - Settings!$B$4/24) &lt;= A586)*((Data!$B$2:$B$53 + Settings!$B$4/24) &gt; A586))&gt;0)</f>
        <v>1</v>
      </c>
      <c r="E586">
        <f>--(SUMPRODUCT((Data!$C$2:$C$53="K12B")*((Data!$A$2:$A$53 - Settings!$B$4/24) &lt;= A586)*((Data!$B$2:$B$53 + Settings!$B$4/24) &gt; A586))&gt;0)</f>
        <v>0</v>
      </c>
      <c r="F586">
        <f>--(SUMPRODUCT((Data!$C$2:$C$53="TT2")*((Data!$A$2:$A$53 - Settings!$B$4/24) &lt;= A586)*((Data!$B$2:$B$53 + Settings!$B$4/24) &gt; A586))&gt;0)</f>
        <v>0</v>
      </c>
    </row>
    <row r="587" spans="1:6" ht="15.6" x14ac:dyDescent="0.3">
      <c r="A587" s="1">
        <v>45956.375347222223</v>
      </c>
      <c r="B587">
        <f>--(SUMPRODUCT((Data!$C$2:$C$53="K12C")*((Data!$A$2:$A$53 - Settings!$B$4/24) &lt;= A587)*((Data!$B$2:$B$53 + Settings!$B$4/24) &gt; A587))&gt;0)</f>
        <v>0</v>
      </c>
      <c r="C587">
        <f>--(SUMPRODUCT((Data!$C$2:$C$53="K12A")*((Data!$A$2:$A$53 - Settings!$B$4/24) &lt;= A587)*((Data!$B$2:$B$53 + Settings!$B$4/24) &gt; A587))&gt;0)</f>
        <v>1</v>
      </c>
      <c r="D587">
        <f>--(SUMPRODUCT((Data!$C$2:$C$53="K12")*((Data!$A$2:$A$53 - Settings!$B$4/24) &lt;= A587)*((Data!$B$2:$B$53 + Settings!$B$4/24) &gt; A587))&gt;0)</f>
        <v>1</v>
      </c>
      <c r="E587">
        <f>--(SUMPRODUCT((Data!$C$2:$C$53="K12B")*((Data!$A$2:$A$53 - Settings!$B$4/24) &lt;= A587)*((Data!$B$2:$B$53 + Settings!$B$4/24) &gt; A587))&gt;0)</f>
        <v>0</v>
      </c>
      <c r="F587">
        <f>--(SUMPRODUCT((Data!$C$2:$C$53="TT2")*((Data!$A$2:$A$53 - Settings!$B$4/24) &lt;= A587)*((Data!$B$2:$B$53 + Settings!$B$4/24) &gt; A587))&gt;0)</f>
        <v>0</v>
      </c>
    </row>
    <row r="588" spans="1:6" ht="15.6" x14ac:dyDescent="0.3">
      <c r="A588" s="1">
        <v>45956.417013888888</v>
      </c>
      <c r="B588">
        <f>--(SUMPRODUCT((Data!$C$2:$C$53="K12C")*((Data!$A$2:$A$53 - Settings!$B$4/24) &lt;= A588)*((Data!$B$2:$B$53 + Settings!$B$4/24) &gt; A588))&gt;0)</f>
        <v>0</v>
      </c>
      <c r="C588">
        <f>--(SUMPRODUCT((Data!$C$2:$C$53="K12A")*((Data!$A$2:$A$53 - Settings!$B$4/24) &lt;= A588)*((Data!$B$2:$B$53 + Settings!$B$4/24) &gt; A588))&gt;0)</f>
        <v>1</v>
      </c>
      <c r="D588">
        <f>--(SUMPRODUCT((Data!$C$2:$C$53="K12")*((Data!$A$2:$A$53 - Settings!$B$4/24) &lt;= A588)*((Data!$B$2:$B$53 + Settings!$B$4/24) &gt; A588))&gt;0)</f>
        <v>1</v>
      </c>
      <c r="E588">
        <f>--(SUMPRODUCT((Data!$C$2:$C$53="K12B")*((Data!$A$2:$A$53 - Settings!$B$4/24) &lt;= A588)*((Data!$B$2:$B$53 + Settings!$B$4/24) &gt; A588))&gt;0)</f>
        <v>0</v>
      </c>
      <c r="F588">
        <f>--(SUMPRODUCT((Data!$C$2:$C$53="TT2")*((Data!$A$2:$A$53 - Settings!$B$4/24) &lt;= A588)*((Data!$B$2:$B$53 + Settings!$B$4/24) &gt; A588))&gt;0)</f>
        <v>0</v>
      </c>
    </row>
    <row r="589" spans="1:6" ht="15.6" x14ac:dyDescent="0.3">
      <c r="A589" s="1">
        <v>45956.458680555559</v>
      </c>
      <c r="B589">
        <f>--(SUMPRODUCT((Data!$C$2:$C$53="K12C")*((Data!$A$2:$A$53 - Settings!$B$4/24) &lt;= A589)*((Data!$B$2:$B$53 + Settings!$B$4/24) &gt; A589))&gt;0)</f>
        <v>0</v>
      </c>
      <c r="C589">
        <f>--(SUMPRODUCT((Data!$C$2:$C$53="K12A")*((Data!$A$2:$A$53 - Settings!$B$4/24) &lt;= A589)*((Data!$B$2:$B$53 + Settings!$B$4/24) &gt; A589))&gt;0)</f>
        <v>1</v>
      </c>
      <c r="D589">
        <f>--(SUMPRODUCT((Data!$C$2:$C$53="K12")*((Data!$A$2:$A$53 - Settings!$B$4/24) &lt;= A589)*((Data!$B$2:$B$53 + Settings!$B$4/24) &gt; A589))&gt;0)</f>
        <v>1</v>
      </c>
      <c r="E589">
        <f>--(SUMPRODUCT((Data!$C$2:$C$53="K12B")*((Data!$A$2:$A$53 - Settings!$B$4/24) &lt;= A589)*((Data!$B$2:$B$53 + Settings!$B$4/24) &gt; A589))&gt;0)</f>
        <v>0</v>
      </c>
      <c r="F589">
        <f>--(SUMPRODUCT((Data!$C$2:$C$53="TT2")*((Data!$A$2:$A$53 - Settings!$B$4/24) &lt;= A589)*((Data!$B$2:$B$53 + Settings!$B$4/24) &gt; A589))&gt;0)</f>
        <v>0</v>
      </c>
    </row>
    <row r="590" spans="1:6" ht="15.6" x14ac:dyDescent="0.3">
      <c r="A590" s="1">
        <v>45956.500347222223</v>
      </c>
      <c r="B590">
        <f>--(SUMPRODUCT((Data!$C$2:$C$53="K12C")*((Data!$A$2:$A$53 - Settings!$B$4/24) &lt;= A590)*((Data!$B$2:$B$53 + Settings!$B$4/24) &gt; A590))&gt;0)</f>
        <v>0</v>
      </c>
      <c r="C590">
        <f>--(SUMPRODUCT((Data!$C$2:$C$53="K12A")*((Data!$A$2:$A$53 - Settings!$B$4/24) &lt;= A590)*((Data!$B$2:$B$53 + Settings!$B$4/24) &gt; A590))&gt;0)</f>
        <v>1</v>
      </c>
      <c r="D590">
        <f>--(SUMPRODUCT((Data!$C$2:$C$53="K12")*((Data!$A$2:$A$53 - Settings!$B$4/24) &lt;= A590)*((Data!$B$2:$B$53 + Settings!$B$4/24) &gt; A590))&gt;0)</f>
        <v>1</v>
      </c>
      <c r="E590">
        <f>--(SUMPRODUCT((Data!$C$2:$C$53="K12B")*((Data!$A$2:$A$53 - Settings!$B$4/24) &lt;= A590)*((Data!$B$2:$B$53 + Settings!$B$4/24) &gt; A590))&gt;0)</f>
        <v>0</v>
      </c>
      <c r="F590">
        <f>--(SUMPRODUCT((Data!$C$2:$C$53="TT2")*((Data!$A$2:$A$53 - Settings!$B$4/24) &lt;= A590)*((Data!$B$2:$B$53 + Settings!$B$4/24) &gt; A590))&gt;0)</f>
        <v>0</v>
      </c>
    </row>
    <row r="591" spans="1:6" ht="15.6" x14ac:dyDescent="0.3">
      <c r="A591" s="1">
        <v>45956.542013888888</v>
      </c>
      <c r="B591">
        <f>--(SUMPRODUCT((Data!$C$2:$C$53="K12C")*((Data!$A$2:$A$53 - Settings!$B$4/24) &lt;= A591)*((Data!$B$2:$B$53 + Settings!$B$4/24) &gt; A591))&gt;0)</f>
        <v>0</v>
      </c>
      <c r="C591">
        <f>--(SUMPRODUCT((Data!$C$2:$C$53="K12A")*((Data!$A$2:$A$53 - Settings!$B$4/24) &lt;= A591)*((Data!$B$2:$B$53 + Settings!$B$4/24) &gt; A591))&gt;0)</f>
        <v>1</v>
      </c>
      <c r="D591">
        <f>--(SUMPRODUCT((Data!$C$2:$C$53="K12")*((Data!$A$2:$A$53 - Settings!$B$4/24) &lt;= A591)*((Data!$B$2:$B$53 + Settings!$B$4/24) &gt; A591))&gt;0)</f>
        <v>1</v>
      </c>
      <c r="E591">
        <f>--(SUMPRODUCT((Data!$C$2:$C$53="K12B")*((Data!$A$2:$A$53 - Settings!$B$4/24) &lt;= A591)*((Data!$B$2:$B$53 + Settings!$B$4/24) &gt; A591))&gt;0)</f>
        <v>0</v>
      </c>
      <c r="F591">
        <f>--(SUMPRODUCT((Data!$C$2:$C$53="TT2")*((Data!$A$2:$A$53 - Settings!$B$4/24) &lt;= A591)*((Data!$B$2:$B$53 + Settings!$B$4/24) &gt; A591))&gt;0)</f>
        <v>0</v>
      </c>
    </row>
    <row r="592" spans="1:6" ht="15.6" x14ac:dyDescent="0.3">
      <c r="A592" s="1">
        <v>45956.583680555559</v>
      </c>
      <c r="B592">
        <f>--(SUMPRODUCT((Data!$C$2:$C$53="K12C")*((Data!$A$2:$A$53 - Settings!$B$4/24) &lt;= A592)*((Data!$B$2:$B$53 + Settings!$B$4/24) &gt; A592))&gt;0)</f>
        <v>0</v>
      </c>
      <c r="C592">
        <f>--(SUMPRODUCT((Data!$C$2:$C$53="K12A")*((Data!$A$2:$A$53 - Settings!$B$4/24) &lt;= A592)*((Data!$B$2:$B$53 + Settings!$B$4/24) &gt; A592))&gt;0)</f>
        <v>1</v>
      </c>
      <c r="D592">
        <f>--(SUMPRODUCT((Data!$C$2:$C$53="K12")*((Data!$A$2:$A$53 - Settings!$B$4/24) &lt;= A592)*((Data!$B$2:$B$53 + Settings!$B$4/24) &gt; A592))&gt;0)</f>
        <v>1</v>
      </c>
      <c r="E592">
        <f>--(SUMPRODUCT((Data!$C$2:$C$53="K12B")*((Data!$A$2:$A$53 - Settings!$B$4/24) &lt;= A592)*((Data!$B$2:$B$53 + Settings!$B$4/24) &gt; A592))&gt;0)</f>
        <v>0</v>
      </c>
      <c r="F592">
        <f>--(SUMPRODUCT((Data!$C$2:$C$53="TT2")*((Data!$A$2:$A$53 - Settings!$B$4/24) &lt;= A592)*((Data!$B$2:$B$53 + Settings!$B$4/24) &gt; A592))&gt;0)</f>
        <v>0</v>
      </c>
    </row>
    <row r="593" spans="1:6" ht="15.6" x14ac:dyDescent="0.3">
      <c r="A593" s="1">
        <v>45956.625347222223</v>
      </c>
      <c r="B593">
        <f>--(SUMPRODUCT((Data!$C$2:$C$53="K12C")*((Data!$A$2:$A$53 - Settings!$B$4/24) &lt;= A593)*((Data!$B$2:$B$53 + Settings!$B$4/24) &gt; A593))&gt;0)</f>
        <v>0</v>
      </c>
      <c r="C593">
        <f>--(SUMPRODUCT((Data!$C$2:$C$53="K12A")*((Data!$A$2:$A$53 - Settings!$B$4/24) &lt;= A593)*((Data!$B$2:$B$53 + Settings!$B$4/24) &gt; A593))&gt;0)</f>
        <v>1</v>
      </c>
      <c r="D593">
        <f>--(SUMPRODUCT((Data!$C$2:$C$53="K12")*((Data!$A$2:$A$53 - Settings!$B$4/24) &lt;= A593)*((Data!$B$2:$B$53 + Settings!$B$4/24) &gt; A593))&gt;0)</f>
        <v>1</v>
      </c>
      <c r="E593">
        <f>--(SUMPRODUCT((Data!$C$2:$C$53="K12B")*((Data!$A$2:$A$53 - Settings!$B$4/24) &lt;= A593)*((Data!$B$2:$B$53 + Settings!$B$4/24) &gt; A593))&gt;0)</f>
        <v>0</v>
      </c>
      <c r="F593">
        <f>--(SUMPRODUCT((Data!$C$2:$C$53="TT2")*((Data!$A$2:$A$53 - Settings!$B$4/24) &lt;= A593)*((Data!$B$2:$B$53 + Settings!$B$4/24) &gt; A593))&gt;0)</f>
        <v>0</v>
      </c>
    </row>
    <row r="594" spans="1:6" ht="15.6" x14ac:dyDescent="0.3">
      <c r="A594" s="1">
        <v>45956.667013888888</v>
      </c>
      <c r="B594">
        <f>--(SUMPRODUCT((Data!$C$2:$C$53="K12C")*((Data!$A$2:$A$53 - Settings!$B$4/24) &lt;= A594)*((Data!$B$2:$B$53 + Settings!$B$4/24) &gt; A594))&gt;0)</f>
        <v>0</v>
      </c>
      <c r="C594">
        <f>--(SUMPRODUCT((Data!$C$2:$C$53="K12A")*((Data!$A$2:$A$53 - Settings!$B$4/24) &lt;= A594)*((Data!$B$2:$B$53 + Settings!$B$4/24) &gt; A594))&gt;0)</f>
        <v>1</v>
      </c>
      <c r="D594">
        <f>--(SUMPRODUCT((Data!$C$2:$C$53="K12")*((Data!$A$2:$A$53 - Settings!$B$4/24) &lt;= A594)*((Data!$B$2:$B$53 + Settings!$B$4/24) &gt; A594))&gt;0)</f>
        <v>1</v>
      </c>
      <c r="E594">
        <f>--(SUMPRODUCT((Data!$C$2:$C$53="K12B")*((Data!$A$2:$A$53 - Settings!$B$4/24) &lt;= A594)*((Data!$B$2:$B$53 + Settings!$B$4/24) &gt; A594))&gt;0)</f>
        <v>0</v>
      </c>
      <c r="F594">
        <f>--(SUMPRODUCT((Data!$C$2:$C$53="TT2")*((Data!$A$2:$A$53 - Settings!$B$4/24) &lt;= A594)*((Data!$B$2:$B$53 + Settings!$B$4/24) &gt; A594))&gt;0)</f>
        <v>0</v>
      </c>
    </row>
    <row r="595" spans="1:6" ht="15.6" x14ac:dyDescent="0.3">
      <c r="A595" s="1">
        <v>45956.708680555559</v>
      </c>
      <c r="B595">
        <f>--(SUMPRODUCT((Data!$C$2:$C$53="K12C")*((Data!$A$2:$A$53 - Settings!$B$4/24) &lt;= A595)*((Data!$B$2:$B$53 + Settings!$B$4/24) &gt; A595))&gt;0)</f>
        <v>0</v>
      </c>
      <c r="C595">
        <f>--(SUMPRODUCT((Data!$C$2:$C$53="K12A")*((Data!$A$2:$A$53 - Settings!$B$4/24) &lt;= A595)*((Data!$B$2:$B$53 + Settings!$B$4/24) &gt; A595))&gt;0)</f>
        <v>1</v>
      </c>
      <c r="D595">
        <f>--(SUMPRODUCT((Data!$C$2:$C$53="K12")*((Data!$A$2:$A$53 - Settings!$B$4/24) &lt;= A595)*((Data!$B$2:$B$53 + Settings!$B$4/24) &gt; A595))&gt;0)</f>
        <v>1</v>
      </c>
      <c r="E595">
        <f>--(SUMPRODUCT((Data!$C$2:$C$53="K12B")*((Data!$A$2:$A$53 - Settings!$B$4/24) &lt;= A595)*((Data!$B$2:$B$53 + Settings!$B$4/24) &gt; A595))&gt;0)</f>
        <v>0</v>
      </c>
      <c r="F595">
        <f>--(SUMPRODUCT((Data!$C$2:$C$53="TT2")*((Data!$A$2:$A$53 - Settings!$B$4/24) &lt;= A595)*((Data!$B$2:$B$53 + Settings!$B$4/24) &gt; A595))&gt;0)</f>
        <v>0</v>
      </c>
    </row>
    <row r="596" spans="1:6" ht="15.6" x14ac:dyDescent="0.3">
      <c r="A596" s="1">
        <v>45956.750347222223</v>
      </c>
      <c r="B596">
        <f>--(SUMPRODUCT((Data!$C$2:$C$53="K12C")*((Data!$A$2:$A$53 - Settings!$B$4/24) &lt;= A596)*((Data!$B$2:$B$53 + Settings!$B$4/24) &gt; A596))&gt;0)</f>
        <v>0</v>
      </c>
      <c r="C596">
        <f>--(SUMPRODUCT((Data!$C$2:$C$53="K12A")*((Data!$A$2:$A$53 - Settings!$B$4/24) &lt;= A596)*((Data!$B$2:$B$53 + Settings!$B$4/24) &gt; A596))&gt;0)</f>
        <v>1</v>
      </c>
      <c r="D596">
        <f>--(SUMPRODUCT((Data!$C$2:$C$53="K12")*((Data!$A$2:$A$53 - Settings!$B$4/24) &lt;= A596)*((Data!$B$2:$B$53 + Settings!$B$4/24) &gt; A596))&gt;0)</f>
        <v>1</v>
      </c>
      <c r="E596">
        <f>--(SUMPRODUCT((Data!$C$2:$C$53="K12B")*((Data!$A$2:$A$53 - Settings!$B$4/24) &lt;= A596)*((Data!$B$2:$B$53 + Settings!$B$4/24) &gt; A596))&gt;0)</f>
        <v>0</v>
      </c>
      <c r="F596">
        <f>--(SUMPRODUCT((Data!$C$2:$C$53="TT2")*((Data!$A$2:$A$53 - Settings!$B$4/24) &lt;= A596)*((Data!$B$2:$B$53 + Settings!$B$4/24) &gt; A596))&gt;0)</f>
        <v>0</v>
      </c>
    </row>
    <row r="597" spans="1:6" ht="15.6" x14ac:dyDescent="0.3">
      <c r="A597" s="1">
        <v>45956.792013888888</v>
      </c>
      <c r="B597">
        <f>--(SUMPRODUCT((Data!$C$2:$C$53="K12C")*((Data!$A$2:$A$53 - Settings!$B$4/24) &lt;= A597)*((Data!$B$2:$B$53 + Settings!$B$4/24) &gt; A597))&gt;0)</f>
        <v>0</v>
      </c>
      <c r="C597">
        <f>--(SUMPRODUCT((Data!$C$2:$C$53="K12A")*((Data!$A$2:$A$53 - Settings!$B$4/24) &lt;= A597)*((Data!$B$2:$B$53 + Settings!$B$4/24) &gt; A597))&gt;0)</f>
        <v>1</v>
      </c>
      <c r="D597">
        <f>--(SUMPRODUCT((Data!$C$2:$C$53="K12")*((Data!$A$2:$A$53 - Settings!$B$4/24) &lt;= A597)*((Data!$B$2:$B$53 + Settings!$B$4/24) &gt; A597))&gt;0)</f>
        <v>1</v>
      </c>
      <c r="E597">
        <f>--(SUMPRODUCT((Data!$C$2:$C$53="K12B")*((Data!$A$2:$A$53 - Settings!$B$4/24) &lt;= A597)*((Data!$B$2:$B$53 + Settings!$B$4/24) &gt; A597))&gt;0)</f>
        <v>0</v>
      </c>
      <c r="F597">
        <f>--(SUMPRODUCT((Data!$C$2:$C$53="TT2")*((Data!$A$2:$A$53 - Settings!$B$4/24) &lt;= A597)*((Data!$B$2:$B$53 + Settings!$B$4/24) &gt; A597))&gt;0)</f>
        <v>0</v>
      </c>
    </row>
    <row r="598" spans="1:6" ht="15.6" x14ac:dyDescent="0.3">
      <c r="A598" s="1">
        <v>45956.833680555559</v>
      </c>
      <c r="B598">
        <f>--(SUMPRODUCT((Data!$C$2:$C$53="K12C")*((Data!$A$2:$A$53 - Settings!$B$4/24) &lt;= A598)*((Data!$B$2:$B$53 + Settings!$B$4/24) &gt; A598))&gt;0)</f>
        <v>0</v>
      </c>
      <c r="C598">
        <f>--(SUMPRODUCT((Data!$C$2:$C$53="K12A")*((Data!$A$2:$A$53 - Settings!$B$4/24) &lt;= A598)*((Data!$B$2:$B$53 + Settings!$B$4/24) &gt; A598))&gt;0)</f>
        <v>1</v>
      </c>
      <c r="D598">
        <f>--(SUMPRODUCT((Data!$C$2:$C$53="K12")*((Data!$A$2:$A$53 - Settings!$B$4/24) &lt;= A598)*((Data!$B$2:$B$53 + Settings!$B$4/24) &gt; A598))&gt;0)</f>
        <v>1</v>
      </c>
      <c r="E598">
        <f>--(SUMPRODUCT((Data!$C$2:$C$53="K12B")*((Data!$A$2:$A$53 - Settings!$B$4/24) &lt;= A598)*((Data!$B$2:$B$53 + Settings!$B$4/24) &gt; A598))&gt;0)</f>
        <v>0</v>
      </c>
      <c r="F598">
        <f>--(SUMPRODUCT((Data!$C$2:$C$53="TT2")*((Data!$A$2:$A$53 - Settings!$B$4/24) &lt;= A598)*((Data!$B$2:$B$53 + Settings!$B$4/24) &gt; A598))&gt;0)</f>
        <v>0</v>
      </c>
    </row>
    <row r="599" spans="1:6" ht="15.6" x14ac:dyDescent="0.3">
      <c r="A599" s="1">
        <v>45956.875347222223</v>
      </c>
      <c r="B599">
        <f>--(SUMPRODUCT((Data!$C$2:$C$53="K12C")*((Data!$A$2:$A$53 - Settings!$B$4/24) &lt;= A599)*((Data!$B$2:$B$53 + Settings!$B$4/24) &gt; A599))&gt;0)</f>
        <v>1</v>
      </c>
      <c r="C599">
        <f>--(SUMPRODUCT((Data!$C$2:$C$53="K12A")*((Data!$A$2:$A$53 - Settings!$B$4/24) &lt;= A599)*((Data!$B$2:$B$53 + Settings!$B$4/24) &gt; A599))&gt;0)</f>
        <v>1</v>
      </c>
      <c r="D599">
        <f>--(SUMPRODUCT((Data!$C$2:$C$53="K12")*((Data!$A$2:$A$53 - Settings!$B$4/24) &lt;= A599)*((Data!$B$2:$B$53 + Settings!$B$4/24) &gt; A599))&gt;0)</f>
        <v>1</v>
      </c>
      <c r="E599">
        <f>--(SUMPRODUCT((Data!$C$2:$C$53="K12B")*((Data!$A$2:$A$53 - Settings!$B$4/24) &lt;= A599)*((Data!$B$2:$B$53 + Settings!$B$4/24) &gt; A599))&gt;0)</f>
        <v>0</v>
      </c>
      <c r="F599">
        <f>--(SUMPRODUCT((Data!$C$2:$C$53="TT2")*((Data!$A$2:$A$53 - Settings!$B$4/24) &lt;= A599)*((Data!$B$2:$B$53 + Settings!$B$4/24) &gt; A599))&gt;0)</f>
        <v>0</v>
      </c>
    </row>
    <row r="600" spans="1:6" ht="15.6" x14ac:dyDescent="0.3">
      <c r="A600" s="1">
        <v>45956.917013888888</v>
      </c>
      <c r="B600">
        <f>--(SUMPRODUCT((Data!$C$2:$C$53="K12C")*((Data!$A$2:$A$53 - Settings!$B$4/24) &lt;= A600)*((Data!$B$2:$B$53 + Settings!$B$4/24) &gt; A600))&gt;0)</f>
        <v>1</v>
      </c>
      <c r="C600">
        <f>--(SUMPRODUCT((Data!$C$2:$C$53="K12A")*((Data!$A$2:$A$53 - Settings!$B$4/24) &lt;= A600)*((Data!$B$2:$B$53 + Settings!$B$4/24) &gt; A600))&gt;0)</f>
        <v>1</v>
      </c>
      <c r="D600">
        <f>--(SUMPRODUCT((Data!$C$2:$C$53="K12")*((Data!$A$2:$A$53 - Settings!$B$4/24) &lt;= A600)*((Data!$B$2:$B$53 + Settings!$B$4/24) &gt; A600))&gt;0)</f>
        <v>1</v>
      </c>
      <c r="E600">
        <f>--(SUMPRODUCT((Data!$C$2:$C$53="K12B")*((Data!$A$2:$A$53 - Settings!$B$4/24) &lt;= A600)*((Data!$B$2:$B$53 + Settings!$B$4/24) &gt; A600))&gt;0)</f>
        <v>0</v>
      </c>
      <c r="F600">
        <f>--(SUMPRODUCT((Data!$C$2:$C$53="TT2")*((Data!$A$2:$A$53 - Settings!$B$4/24) &lt;= A600)*((Data!$B$2:$B$53 + Settings!$B$4/24) &gt; A600))&gt;0)</f>
        <v>0</v>
      </c>
    </row>
    <row r="601" spans="1:6" ht="15.6" x14ac:dyDescent="0.3">
      <c r="A601" s="1">
        <v>45956.958680555559</v>
      </c>
      <c r="B601">
        <f>--(SUMPRODUCT((Data!$C$2:$C$53="K12C")*((Data!$A$2:$A$53 - Settings!$B$4/24) &lt;= A601)*((Data!$B$2:$B$53 + Settings!$B$4/24) &gt; A601))&gt;0)</f>
        <v>1</v>
      </c>
      <c r="C601">
        <f>--(SUMPRODUCT((Data!$C$2:$C$53="K12A")*((Data!$A$2:$A$53 - Settings!$B$4/24) &lt;= A601)*((Data!$B$2:$B$53 + Settings!$B$4/24) &gt; A601))&gt;0)</f>
        <v>1</v>
      </c>
      <c r="D601">
        <f>--(SUMPRODUCT((Data!$C$2:$C$53="K12")*((Data!$A$2:$A$53 - Settings!$B$4/24) &lt;= A601)*((Data!$B$2:$B$53 + Settings!$B$4/24) &gt; A601))&gt;0)</f>
        <v>1</v>
      </c>
      <c r="E601">
        <f>--(SUMPRODUCT((Data!$C$2:$C$53="K12B")*((Data!$A$2:$A$53 - Settings!$B$4/24) &lt;= A601)*((Data!$B$2:$B$53 + Settings!$B$4/24) &gt; A601))&gt;0)</f>
        <v>0</v>
      </c>
      <c r="F601">
        <f>--(SUMPRODUCT((Data!$C$2:$C$53="TT2")*((Data!$A$2:$A$53 - Settings!$B$4/24) &lt;= A601)*((Data!$B$2:$B$53 + Settings!$B$4/24) &gt; A601))&gt;0)</f>
        <v>0</v>
      </c>
    </row>
    <row r="602" spans="1:6" ht="15.6" x14ac:dyDescent="0.3">
      <c r="A602" s="1">
        <v>45957.000347222223</v>
      </c>
      <c r="B602">
        <f>--(SUMPRODUCT((Data!$C$2:$C$53="K12C")*((Data!$A$2:$A$53 - Settings!$B$4/24) &lt;= A602)*((Data!$B$2:$B$53 + Settings!$B$4/24) &gt; A602))&gt;0)</f>
        <v>1</v>
      </c>
      <c r="C602">
        <f>--(SUMPRODUCT((Data!$C$2:$C$53="K12A")*((Data!$A$2:$A$53 - Settings!$B$4/24) &lt;= A602)*((Data!$B$2:$B$53 + Settings!$B$4/24) &gt; A602))&gt;0)</f>
        <v>1</v>
      </c>
      <c r="D602">
        <f>--(SUMPRODUCT((Data!$C$2:$C$53="K12")*((Data!$A$2:$A$53 - Settings!$B$4/24) &lt;= A602)*((Data!$B$2:$B$53 + Settings!$B$4/24) &gt; A602))&gt;0)</f>
        <v>1</v>
      </c>
      <c r="E602">
        <f>--(SUMPRODUCT((Data!$C$2:$C$53="K12B")*((Data!$A$2:$A$53 - Settings!$B$4/24) &lt;= A602)*((Data!$B$2:$B$53 + Settings!$B$4/24) &gt; A602))&gt;0)</f>
        <v>0</v>
      </c>
      <c r="F602">
        <f>--(SUMPRODUCT((Data!$C$2:$C$53="TT2")*((Data!$A$2:$A$53 - Settings!$B$4/24) &lt;= A602)*((Data!$B$2:$B$53 + Settings!$B$4/24) &gt; A602))&gt;0)</f>
        <v>0</v>
      </c>
    </row>
    <row r="603" spans="1:6" ht="15.6" x14ac:dyDescent="0.3">
      <c r="A603" s="1">
        <v>45957.042013888888</v>
      </c>
      <c r="B603">
        <f>--(SUMPRODUCT((Data!$C$2:$C$53="K12C")*((Data!$A$2:$A$53 - Settings!$B$4/24) &lt;= A603)*((Data!$B$2:$B$53 + Settings!$B$4/24) &gt; A603))&gt;0)</f>
        <v>1</v>
      </c>
      <c r="C603">
        <f>--(SUMPRODUCT((Data!$C$2:$C$53="K12A")*((Data!$A$2:$A$53 - Settings!$B$4/24) &lt;= A603)*((Data!$B$2:$B$53 + Settings!$B$4/24) &gt; A603))&gt;0)</f>
        <v>1</v>
      </c>
      <c r="D603">
        <f>--(SUMPRODUCT((Data!$C$2:$C$53="K12")*((Data!$A$2:$A$53 - Settings!$B$4/24) &lt;= A603)*((Data!$B$2:$B$53 + Settings!$B$4/24) &gt; A603))&gt;0)</f>
        <v>1</v>
      </c>
      <c r="E603">
        <f>--(SUMPRODUCT((Data!$C$2:$C$53="K12B")*((Data!$A$2:$A$53 - Settings!$B$4/24) &lt;= A603)*((Data!$B$2:$B$53 + Settings!$B$4/24) &gt; A603))&gt;0)</f>
        <v>0</v>
      </c>
      <c r="F603">
        <f>--(SUMPRODUCT((Data!$C$2:$C$53="TT2")*((Data!$A$2:$A$53 - Settings!$B$4/24) &lt;= A603)*((Data!$B$2:$B$53 + Settings!$B$4/24) &gt; A603))&gt;0)</f>
        <v>0</v>
      </c>
    </row>
    <row r="604" spans="1:6" ht="15.6" x14ac:dyDescent="0.3">
      <c r="A604" s="1">
        <v>45957.083680555559</v>
      </c>
      <c r="B604">
        <f>--(SUMPRODUCT((Data!$C$2:$C$53="K12C")*((Data!$A$2:$A$53 - Settings!$B$4/24) &lt;= A604)*((Data!$B$2:$B$53 + Settings!$B$4/24) &gt; A604))&gt;0)</f>
        <v>1</v>
      </c>
      <c r="C604">
        <f>--(SUMPRODUCT((Data!$C$2:$C$53="K12A")*((Data!$A$2:$A$53 - Settings!$B$4/24) &lt;= A604)*((Data!$B$2:$B$53 + Settings!$B$4/24) &gt; A604))&gt;0)</f>
        <v>1</v>
      </c>
      <c r="D604">
        <f>--(SUMPRODUCT((Data!$C$2:$C$53="K12")*((Data!$A$2:$A$53 - Settings!$B$4/24) &lt;= A604)*((Data!$B$2:$B$53 + Settings!$B$4/24) &gt; A604))&gt;0)</f>
        <v>1</v>
      </c>
      <c r="E604">
        <f>--(SUMPRODUCT((Data!$C$2:$C$53="K12B")*((Data!$A$2:$A$53 - Settings!$B$4/24) &lt;= A604)*((Data!$B$2:$B$53 + Settings!$B$4/24) &gt; A604))&gt;0)</f>
        <v>0</v>
      </c>
      <c r="F604">
        <f>--(SUMPRODUCT((Data!$C$2:$C$53="TT2")*((Data!$A$2:$A$53 - Settings!$B$4/24) &lt;= A604)*((Data!$B$2:$B$53 + Settings!$B$4/24) &gt; A604))&gt;0)</f>
        <v>0</v>
      </c>
    </row>
    <row r="605" spans="1:6" ht="15.6" x14ac:dyDescent="0.3">
      <c r="A605" s="1">
        <v>45957.125347222223</v>
      </c>
      <c r="B605">
        <f>--(SUMPRODUCT((Data!$C$2:$C$53="K12C")*((Data!$A$2:$A$53 - Settings!$B$4/24) &lt;= A605)*((Data!$B$2:$B$53 + Settings!$B$4/24) &gt; A605))&gt;0)</f>
        <v>1</v>
      </c>
      <c r="C605">
        <f>--(SUMPRODUCT((Data!$C$2:$C$53="K12A")*((Data!$A$2:$A$53 - Settings!$B$4/24) &lt;= A605)*((Data!$B$2:$B$53 + Settings!$B$4/24) &gt; A605))&gt;0)</f>
        <v>1</v>
      </c>
      <c r="D605">
        <f>--(SUMPRODUCT((Data!$C$2:$C$53="K12")*((Data!$A$2:$A$53 - Settings!$B$4/24) &lt;= A605)*((Data!$B$2:$B$53 + Settings!$B$4/24) &gt; A605))&gt;0)</f>
        <v>1</v>
      </c>
      <c r="E605">
        <f>--(SUMPRODUCT((Data!$C$2:$C$53="K12B")*((Data!$A$2:$A$53 - Settings!$B$4/24) &lt;= A605)*((Data!$B$2:$B$53 + Settings!$B$4/24) &gt; A605))&gt;0)</f>
        <v>0</v>
      </c>
      <c r="F605">
        <f>--(SUMPRODUCT((Data!$C$2:$C$53="TT2")*((Data!$A$2:$A$53 - Settings!$B$4/24) &lt;= A605)*((Data!$B$2:$B$53 + Settings!$B$4/24) &gt; A605))&gt;0)</f>
        <v>0</v>
      </c>
    </row>
    <row r="606" spans="1:6" ht="15.6" x14ac:dyDescent="0.3">
      <c r="A606" s="1">
        <v>45957.167013888888</v>
      </c>
      <c r="B606">
        <f>--(SUMPRODUCT((Data!$C$2:$C$53="K12C")*((Data!$A$2:$A$53 - Settings!$B$4/24) &lt;= A606)*((Data!$B$2:$B$53 + Settings!$B$4/24) &gt; A606))&gt;0)</f>
        <v>1</v>
      </c>
      <c r="C606">
        <f>--(SUMPRODUCT((Data!$C$2:$C$53="K12A")*((Data!$A$2:$A$53 - Settings!$B$4/24) &lt;= A606)*((Data!$B$2:$B$53 + Settings!$B$4/24) &gt; A606))&gt;0)</f>
        <v>1</v>
      </c>
      <c r="D606">
        <f>--(SUMPRODUCT((Data!$C$2:$C$53="K12")*((Data!$A$2:$A$53 - Settings!$B$4/24) &lt;= A606)*((Data!$B$2:$B$53 + Settings!$B$4/24) &gt; A606))&gt;0)</f>
        <v>1</v>
      </c>
      <c r="E606">
        <f>--(SUMPRODUCT((Data!$C$2:$C$53="K12B")*((Data!$A$2:$A$53 - Settings!$B$4/24) &lt;= A606)*((Data!$B$2:$B$53 + Settings!$B$4/24) &gt; A606))&gt;0)</f>
        <v>0</v>
      </c>
      <c r="F606">
        <f>--(SUMPRODUCT((Data!$C$2:$C$53="TT2")*((Data!$A$2:$A$53 - Settings!$B$4/24) &lt;= A606)*((Data!$B$2:$B$53 + Settings!$B$4/24) &gt; A606))&gt;0)</f>
        <v>0</v>
      </c>
    </row>
    <row r="607" spans="1:6" ht="15.6" x14ac:dyDescent="0.3">
      <c r="A607" s="1">
        <v>45957.208680555559</v>
      </c>
      <c r="B607">
        <f>--(SUMPRODUCT((Data!$C$2:$C$53="K12C")*((Data!$A$2:$A$53 - Settings!$B$4/24) &lt;= A607)*((Data!$B$2:$B$53 + Settings!$B$4/24) &gt; A607))&gt;0)</f>
        <v>1</v>
      </c>
      <c r="C607">
        <f>--(SUMPRODUCT((Data!$C$2:$C$53="K12A")*((Data!$A$2:$A$53 - Settings!$B$4/24) &lt;= A607)*((Data!$B$2:$B$53 + Settings!$B$4/24) &gt; A607))&gt;0)</f>
        <v>1</v>
      </c>
      <c r="D607">
        <f>--(SUMPRODUCT((Data!$C$2:$C$53="K12")*((Data!$A$2:$A$53 - Settings!$B$4/24) &lt;= A607)*((Data!$B$2:$B$53 + Settings!$B$4/24) &gt; A607))&gt;0)</f>
        <v>1</v>
      </c>
      <c r="E607">
        <f>--(SUMPRODUCT((Data!$C$2:$C$53="K12B")*((Data!$A$2:$A$53 - Settings!$B$4/24) &lt;= A607)*((Data!$B$2:$B$53 + Settings!$B$4/24) &gt; A607))&gt;0)</f>
        <v>0</v>
      </c>
      <c r="F607">
        <f>--(SUMPRODUCT((Data!$C$2:$C$53="TT2")*((Data!$A$2:$A$53 - Settings!$B$4/24) &lt;= A607)*((Data!$B$2:$B$53 + Settings!$B$4/24) &gt; A607))&gt;0)</f>
        <v>0</v>
      </c>
    </row>
    <row r="608" spans="1:6" ht="15.6" x14ac:dyDescent="0.3">
      <c r="A608" s="1">
        <v>45957.250347222223</v>
      </c>
      <c r="B608">
        <f>--(SUMPRODUCT((Data!$C$2:$C$53="K12C")*((Data!$A$2:$A$53 - Settings!$B$4/24) &lt;= A608)*((Data!$B$2:$B$53 + Settings!$B$4/24) &gt; A608))&gt;0)</f>
        <v>1</v>
      </c>
      <c r="C608">
        <f>--(SUMPRODUCT((Data!$C$2:$C$53="K12A")*((Data!$A$2:$A$53 - Settings!$B$4/24) &lt;= A608)*((Data!$B$2:$B$53 + Settings!$B$4/24) &gt; A608))&gt;0)</f>
        <v>1</v>
      </c>
      <c r="D608">
        <f>--(SUMPRODUCT((Data!$C$2:$C$53="K12")*((Data!$A$2:$A$53 - Settings!$B$4/24) &lt;= A608)*((Data!$B$2:$B$53 + Settings!$B$4/24) &gt; A608))&gt;0)</f>
        <v>1</v>
      </c>
      <c r="E608">
        <f>--(SUMPRODUCT((Data!$C$2:$C$53="K12B")*((Data!$A$2:$A$53 - Settings!$B$4/24) &lt;= A608)*((Data!$B$2:$B$53 + Settings!$B$4/24) &gt; A608))&gt;0)</f>
        <v>0</v>
      </c>
      <c r="F608">
        <f>--(SUMPRODUCT((Data!$C$2:$C$53="TT2")*((Data!$A$2:$A$53 - Settings!$B$4/24) &lt;= A608)*((Data!$B$2:$B$53 + Settings!$B$4/24) &gt; A608))&gt;0)</f>
        <v>0</v>
      </c>
    </row>
    <row r="609" spans="1:6" ht="15.6" x14ac:dyDescent="0.3">
      <c r="A609" s="1">
        <v>45957.292013888888</v>
      </c>
      <c r="B609">
        <f>--(SUMPRODUCT((Data!$C$2:$C$53="K12C")*((Data!$A$2:$A$53 - Settings!$B$4/24) &lt;= A609)*((Data!$B$2:$B$53 + Settings!$B$4/24) &gt; A609))&gt;0)</f>
        <v>1</v>
      </c>
      <c r="C609">
        <f>--(SUMPRODUCT((Data!$C$2:$C$53="K12A")*((Data!$A$2:$A$53 - Settings!$B$4/24) &lt;= A609)*((Data!$B$2:$B$53 + Settings!$B$4/24) &gt; A609))&gt;0)</f>
        <v>1</v>
      </c>
      <c r="D609">
        <f>--(SUMPRODUCT((Data!$C$2:$C$53="K12")*((Data!$A$2:$A$53 - Settings!$B$4/24) &lt;= A609)*((Data!$B$2:$B$53 + Settings!$B$4/24) &gt; A609))&gt;0)</f>
        <v>1</v>
      </c>
      <c r="E609">
        <f>--(SUMPRODUCT((Data!$C$2:$C$53="K12B")*((Data!$A$2:$A$53 - Settings!$B$4/24) &lt;= A609)*((Data!$B$2:$B$53 + Settings!$B$4/24) &gt; A609))&gt;0)</f>
        <v>0</v>
      </c>
      <c r="F609">
        <f>--(SUMPRODUCT((Data!$C$2:$C$53="TT2")*((Data!$A$2:$A$53 - Settings!$B$4/24) &lt;= A609)*((Data!$B$2:$B$53 + Settings!$B$4/24) &gt; A609))&gt;0)</f>
        <v>0</v>
      </c>
    </row>
    <row r="610" spans="1:6" ht="15.6" x14ac:dyDescent="0.3">
      <c r="A610" s="1">
        <v>45957.333680555559</v>
      </c>
      <c r="B610">
        <f>--(SUMPRODUCT((Data!$C$2:$C$53="K12C")*((Data!$A$2:$A$53 - Settings!$B$4/24) &lt;= A610)*((Data!$B$2:$B$53 + Settings!$B$4/24) &gt; A610))&gt;0)</f>
        <v>1</v>
      </c>
      <c r="C610">
        <f>--(SUMPRODUCT((Data!$C$2:$C$53="K12A")*((Data!$A$2:$A$53 - Settings!$B$4/24) &lt;= A610)*((Data!$B$2:$B$53 + Settings!$B$4/24) &gt; A610))&gt;0)</f>
        <v>0</v>
      </c>
      <c r="D610">
        <f>--(SUMPRODUCT((Data!$C$2:$C$53="K12")*((Data!$A$2:$A$53 - Settings!$B$4/24) &lt;= A610)*((Data!$B$2:$B$53 + Settings!$B$4/24) &gt; A610))&gt;0)</f>
        <v>1</v>
      </c>
      <c r="E610">
        <f>--(SUMPRODUCT((Data!$C$2:$C$53="K12B")*((Data!$A$2:$A$53 - Settings!$B$4/24) &lt;= A610)*((Data!$B$2:$B$53 + Settings!$B$4/24) &gt; A610))&gt;0)</f>
        <v>0</v>
      </c>
      <c r="F610">
        <f>--(SUMPRODUCT((Data!$C$2:$C$53="TT2")*((Data!$A$2:$A$53 - Settings!$B$4/24) &lt;= A610)*((Data!$B$2:$B$53 + Settings!$B$4/24) &gt; A610))&gt;0)</f>
        <v>0</v>
      </c>
    </row>
    <row r="611" spans="1:6" ht="15.6" x14ac:dyDescent="0.3">
      <c r="A611" s="1">
        <v>45957.375347222223</v>
      </c>
      <c r="B611">
        <f>--(SUMPRODUCT((Data!$C$2:$C$53="K12C")*((Data!$A$2:$A$53 - Settings!$B$4/24) &lt;= A611)*((Data!$B$2:$B$53 + Settings!$B$4/24) &gt; A611))&gt;0)</f>
        <v>1</v>
      </c>
      <c r="C611">
        <f>--(SUMPRODUCT((Data!$C$2:$C$53="K12A")*((Data!$A$2:$A$53 - Settings!$B$4/24) &lt;= A611)*((Data!$B$2:$B$53 + Settings!$B$4/24) &gt; A611))&gt;0)</f>
        <v>0</v>
      </c>
      <c r="D611">
        <f>--(SUMPRODUCT((Data!$C$2:$C$53="K12")*((Data!$A$2:$A$53 - Settings!$B$4/24) &lt;= A611)*((Data!$B$2:$B$53 + Settings!$B$4/24) &gt; A611))&gt;0)</f>
        <v>1</v>
      </c>
      <c r="E611">
        <f>--(SUMPRODUCT((Data!$C$2:$C$53="K12B")*((Data!$A$2:$A$53 - Settings!$B$4/24) &lt;= A611)*((Data!$B$2:$B$53 + Settings!$B$4/24) &gt; A611))&gt;0)</f>
        <v>0</v>
      </c>
      <c r="F611">
        <f>--(SUMPRODUCT((Data!$C$2:$C$53="TT2")*((Data!$A$2:$A$53 - Settings!$B$4/24) &lt;= A611)*((Data!$B$2:$B$53 + Settings!$B$4/24) &gt; A611))&gt;0)</f>
        <v>0</v>
      </c>
    </row>
    <row r="612" spans="1:6" ht="15.6" x14ac:dyDescent="0.3">
      <c r="A612" s="1">
        <v>45957.417013888888</v>
      </c>
      <c r="B612">
        <f>--(SUMPRODUCT((Data!$C$2:$C$53="K12C")*((Data!$A$2:$A$53 - Settings!$B$4/24) &lt;= A612)*((Data!$B$2:$B$53 + Settings!$B$4/24) &gt; A612))&gt;0)</f>
        <v>1</v>
      </c>
      <c r="C612">
        <f>--(SUMPRODUCT((Data!$C$2:$C$53="K12A")*((Data!$A$2:$A$53 - Settings!$B$4/24) &lt;= A612)*((Data!$B$2:$B$53 + Settings!$B$4/24) &gt; A612))&gt;0)</f>
        <v>0</v>
      </c>
      <c r="D612">
        <f>--(SUMPRODUCT((Data!$C$2:$C$53="K12")*((Data!$A$2:$A$53 - Settings!$B$4/24) &lt;= A612)*((Data!$B$2:$B$53 + Settings!$B$4/24) &gt; A612))&gt;0)</f>
        <v>1</v>
      </c>
      <c r="E612">
        <f>--(SUMPRODUCT((Data!$C$2:$C$53="K12B")*((Data!$A$2:$A$53 - Settings!$B$4/24) &lt;= A612)*((Data!$B$2:$B$53 + Settings!$B$4/24) &gt; A612))&gt;0)</f>
        <v>0</v>
      </c>
      <c r="F612">
        <f>--(SUMPRODUCT((Data!$C$2:$C$53="TT2")*((Data!$A$2:$A$53 - Settings!$B$4/24) &lt;= A612)*((Data!$B$2:$B$53 + Settings!$B$4/24) &gt; A612))&gt;0)</f>
        <v>0</v>
      </c>
    </row>
    <row r="613" spans="1:6" ht="15.6" x14ac:dyDescent="0.3">
      <c r="A613" s="1">
        <v>45957.458680555559</v>
      </c>
      <c r="B613">
        <f>--(SUMPRODUCT((Data!$C$2:$C$53="K12C")*((Data!$A$2:$A$53 - Settings!$B$4/24) &lt;= A613)*((Data!$B$2:$B$53 + Settings!$B$4/24) &gt; A613))&gt;0)</f>
        <v>1</v>
      </c>
      <c r="C613">
        <f>--(SUMPRODUCT((Data!$C$2:$C$53="K12A")*((Data!$A$2:$A$53 - Settings!$B$4/24) &lt;= A613)*((Data!$B$2:$B$53 + Settings!$B$4/24) &gt; A613))&gt;0)</f>
        <v>0</v>
      </c>
      <c r="D613">
        <f>--(SUMPRODUCT((Data!$C$2:$C$53="K12")*((Data!$A$2:$A$53 - Settings!$B$4/24) &lt;= A613)*((Data!$B$2:$B$53 + Settings!$B$4/24) &gt; A613))&gt;0)</f>
        <v>1</v>
      </c>
      <c r="E613">
        <f>--(SUMPRODUCT((Data!$C$2:$C$53="K12B")*((Data!$A$2:$A$53 - Settings!$B$4/24) &lt;= A613)*((Data!$B$2:$B$53 + Settings!$B$4/24) &gt; A613))&gt;0)</f>
        <v>0</v>
      </c>
      <c r="F613">
        <f>--(SUMPRODUCT((Data!$C$2:$C$53="TT2")*((Data!$A$2:$A$53 - Settings!$B$4/24) &lt;= A613)*((Data!$B$2:$B$53 + Settings!$B$4/24) &gt; A613))&gt;0)</f>
        <v>0</v>
      </c>
    </row>
    <row r="614" spans="1:6" ht="15.6" x14ac:dyDescent="0.3">
      <c r="A614" s="1">
        <v>45957.500347222223</v>
      </c>
      <c r="B614">
        <f>--(SUMPRODUCT((Data!$C$2:$C$53="K12C")*((Data!$A$2:$A$53 - Settings!$B$4/24) &lt;= A614)*((Data!$B$2:$B$53 + Settings!$B$4/24) &gt; A614))&gt;0)</f>
        <v>1</v>
      </c>
      <c r="C614">
        <f>--(SUMPRODUCT((Data!$C$2:$C$53="K12A")*((Data!$A$2:$A$53 - Settings!$B$4/24) &lt;= A614)*((Data!$B$2:$B$53 + Settings!$B$4/24) &gt; A614))&gt;0)</f>
        <v>0</v>
      </c>
      <c r="D614">
        <f>--(SUMPRODUCT((Data!$C$2:$C$53="K12")*((Data!$A$2:$A$53 - Settings!$B$4/24) &lt;= A614)*((Data!$B$2:$B$53 + Settings!$B$4/24) &gt; A614))&gt;0)</f>
        <v>1</v>
      </c>
      <c r="E614">
        <f>--(SUMPRODUCT((Data!$C$2:$C$53="K12B")*((Data!$A$2:$A$53 - Settings!$B$4/24) &lt;= A614)*((Data!$B$2:$B$53 + Settings!$B$4/24) &gt; A614))&gt;0)</f>
        <v>0</v>
      </c>
      <c r="F614">
        <f>--(SUMPRODUCT((Data!$C$2:$C$53="TT2")*((Data!$A$2:$A$53 - Settings!$B$4/24) &lt;= A614)*((Data!$B$2:$B$53 + Settings!$B$4/24) &gt; A614))&gt;0)</f>
        <v>0</v>
      </c>
    </row>
    <row r="615" spans="1:6" ht="15.6" x14ac:dyDescent="0.3">
      <c r="A615" s="1">
        <v>45957.542013888888</v>
      </c>
      <c r="B615">
        <f>--(SUMPRODUCT((Data!$C$2:$C$53="K12C")*((Data!$A$2:$A$53 - Settings!$B$4/24) &lt;= A615)*((Data!$B$2:$B$53 + Settings!$B$4/24) &gt; A615))&gt;0)</f>
        <v>1</v>
      </c>
      <c r="C615">
        <f>--(SUMPRODUCT((Data!$C$2:$C$53="K12A")*((Data!$A$2:$A$53 - Settings!$B$4/24) &lt;= A615)*((Data!$B$2:$B$53 + Settings!$B$4/24) &gt; A615))&gt;0)</f>
        <v>0</v>
      </c>
      <c r="D615">
        <f>--(SUMPRODUCT((Data!$C$2:$C$53="K12")*((Data!$A$2:$A$53 - Settings!$B$4/24) &lt;= A615)*((Data!$B$2:$B$53 + Settings!$B$4/24) &gt; A615))&gt;0)</f>
        <v>1</v>
      </c>
      <c r="E615">
        <f>--(SUMPRODUCT((Data!$C$2:$C$53="K12B")*((Data!$A$2:$A$53 - Settings!$B$4/24) &lt;= A615)*((Data!$B$2:$B$53 + Settings!$B$4/24) &gt; A615))&gt;0)</f>
        <v>0</v>
      </c>
      <c r="F615">
        <f>--(SUMPRODUCT((Data!$C$2:$C$53="TT2")*((Data!$A$2:$A$53 - Settings!$B$4/24) &lt;= A615)*((Data!$B$2:$B$53 + Settings!$B$4/24) &gt; A615))&gt;0)</f>
        <v>0</v>
      </c>
    </row>
    <row r="616" spans="1:6" ht="15.6" x14ac:dyDescent="0.3">
      <c r="A616" s="1">
        <v>45957.583680555559</v>
      </c>
      <c r="B616">
        <f>--(SUMPRODUCT((Data!$C$2:$C$53="K12C")*((Data!$A$2:$A$53 - Settings!$B$4/24) &lt;= A616)*((Data!$B$2:$B$53 + Settings!$B$4/24) &gt; A616))&gt;0)</f>
        <v>1</v>
      </c>
      <c r="C616">
        <f>--(SUMPRODUCT((Data!$C$2:$C$53="K12A")*((Data!$A$2:$A$53 - Settings!$B$4/24) &lt;= A616)*((Data!$B$2:$B$53 + Settings!$B$4/24) &gt; A616))&gt;0)</f>
        <v>0</v>
      </c>
      <c r="D616">
        <f>--(SUMPRODUCT((Data!$C$2:$C$53="K12")*((Data!$A$2:$A$53 - Settings!$B$4/24) &lt;= A616)*((Data!$B$2:$B$53 + Settings!$B$4/24) &gt; A616))&gt;0)</f>
        <v>1</v>
      </c>
      <c r="E616">
        <f>--(SUMPRODUCT((Data!$C$2:$C$53="K12B")*((Data!$A$2:$A$53 - Settings!$B$4/24) &lt;= A616)*((Data!$B$2:$B$53 + Settings!$B$4/24) &gt; A616))&gt;0)</f>
        <v>0</v>
      </c>
      <c r="F616">
        <f>--(SUMPRODUCT((Data!$C$2:$C$53="TT2")*((Data!$A$2:$A$53 - Settings!$B$4/24) &lt;= A616)*((Data!$B$2:$B$53 + Settings!$B$4/24) &gt; A616))&gt;0)</f>
        <v>0</v>
      </c>
    </row>
    <row r="617" spans="1:6" ht="15.6" x14ac:dyDescent="0.3">
      <c r="A617" s="1">
        <v>45957.625347222223</v>
      </c>
      <c r="B617">
        <f>--(SUMPRODUCT((Data!$C$2:$C$53="K12C")*((Data!$A$2:$A$53 - Settings!$B$4/24) &lt;= A617)*((Data!$B$2:$B$53 + Settings!$B$4/24) &gt; A617))&gt;0)</f>
        <v>1</v>
      </c>
      <c r="C617">
        <f>--(SUMPRODUCT((Data!$C$2:$C$53="K12A")*((Data!$A$2:$A$53 - Settings!$B$4/24) &lt;= A617)*((Data!$B$2:$B$53 + Settings!$B$4/24) &gt; A617))&gt;0)</f>
        <v>0</v>
      </c>
      <c r="D617">
        <f>--(SUMPRODUCT((Data!$C$2:$C$53="K12")*((Data!$A$2:$A$53 - Settings!$B$4/24) &lt;= A617)*((Data!$B$2:$B$53 + Settings!$B$4/24) &gt; A617))&gt;0)</f>
        <v>1</v>
      </c>
      <c r="E617">
        <f>--(SUMPRODUCT((Data!$C$2:$C$53="K12B")*((Data!$A$2:$A$53 - Settings!$B$4/24) &lt;= A617)*((Data!$B$2:$B$53 + Settings!$B$4/24) &gt; A617))&gt;0)</f>
        <v>0</v>
      </c>
      <c r="F617">
        <f>--(SUMPRODUCT((Data!$C$2:$C$53="TT2")*((Data!$A$2:$A$53 - Settings!$B$4/24) &lt;= A617)*((Data!$B$2:$B$53 + Settings!$B$4/24) &gt; A617))&gt;0)</f>
        <v>0</v>
      </c>
    </row>
    <row r="618" spans="1:6" ht="15.6" x14ac:dyDescent="0.3">
      <c r="A618" s="1">
        <v>45957.667013888888</v>
      </c>
      <c r="B618">
        <f>--(SUMPRODUCT((Data!$C$2:$C$53="K12C")*((Data!$A$2:$A$53 - Settings!$B$4/24) &lt;= A618)*((Data!$B$2:$B$53 + Settings!$B$4/24) &gt; A618))&gt;0)</f>
        <v>1</v>
      </c>
      <c r="C618">
        <f>--(SUMPRODUCT((Data!$C$2:$C$53="K12A")*((Data!$A$2:$A$53 - Settings!$B$4/24) &lt;= A618)*((Data!$B$2:$B$53 + Settings!$B$4/24) &gt; A618))&gt;0)</f>
        <v>0</v>
      </c>
      <c r="D618">
        <f>--(SUMPRODUCT((Data!$C$2:$C$53="K12")*((Data!$A$2:$A$53 - Settings!$B$4/24) &lt;= A618)*((Data!$B$2:$B$53 + Settings!$B$4/24) &gt; A618))&gt;0)</f>
        <v>1</v>
      </c>
      <c r="E618">
        <f>--(SUMPRODUCT((Data!$C$2:$C$53="K12B")*((Data!$A$2:$A$53 - Settings!$B$4/24) &lt;= A618)*((Data!$B$2:$B$53 + Settings!$B$4/24) &gt; A618))&gt;0)</f>
        <v>0</v>
      </c>
      <c r="F618">
        <f>--(SUMPRODUCT((Data!$C$2:$C$53="TT2")*((Data!$A$2:$A$53 - Settings!$B$4/24) &lt;= A618)*((Data!$B$2:$B$53 + Settings!$B$4/24) &gt; A618))&gt;0)</f>
        <v>0</v>
      </c>
    </row>
    <row r="619" spans="1:6" ht="15.6" x14ac:dyDescent="0.3">
      <c r="A619" s="1">
        <v>45957.708680555559</v>
      </c>
      <c r="B619">
        <f>--(SUMPRODUCT((Data!$C$2:$C$53="K12C")*((Data!$A$2:$A$53 - Settings!$B$4/24) &lt;= A619)*((Data!$B$2:$B$53 + Settings!$B$4/24) &gt; A619))&gt;0)</f>
        <v>1</v>
      </c>
      <c r="C619">
        <f>--(SUMPRODUCT((Data!$C$2:$C$53="K12A")*((Data!$A$2:$A$53 - Settings!$B$4/24) &lt;= A619)*((Data!$B$2:$B$53 + Settings!$B$4/24) &gt; A619))&gt;0)</f>
        <v>0</v>
      </c>
      <c r="D619">
        <f>--(SUMPRODUCT((Data!$C$2:$C$53="K12")*((Data!$A$2:$A$53 - Settings!$B$4/24) &lt;= A619)*((Data!$B$2:$B$53 + Settings!$B$4/24) &gt; A619))&gt;0)</f>
        <v>1</v>
      </c>
      <c r="E619">
        <f>--(SUMPRODUCT((Data!$C$2:$C$53="K12B")*((Data!$A$2:$A$53 - Settings!$B$4/24) &lt;= A619)*((Data!$B$2:$B$53 + Settings!$B$4/24) &gt; A619))&gt;0)</f>
        <v>0</v>
      </c>
      <c r="F619">
        <f>--(SUMPRODUCT((Data!$C$2:$C$53="TT2")*((Data!$A$2:$A$53 - Settings!$B$4/24) &lt;= A619)*((Data!$B$2:$B$53 + Settings!$B$4/24) &gt; A619))&gt;0)</f>
        <v>0</v>
      </c>
    </row>
    <row r="620" spans="1:6" ht="15.6" x14ac:dyDescent="0.3">
      <c r="A620" s="1">
        <v>45957.750347222223</v>
      </c>
      <c r="B620">
        <f>--(SUMPRODUCT((Data!$C$2:$C$53="K12C")*((Data!$A$2:$A$53 - Settings!$B$4/24) &lt;= A620)*((Data!$B$2:$B$53 + Settings!$B$4/24) &gt; A620))&gt;0)</f>
        <v>1</v>
      </c>
      <c r="C620">
        <f>--(SUMPRODUCT((Data!$C$2:$C$53="K12A")*((Data!$A$2:$A$53 - Settings!$B$4/24) &lt;= A620)*((Data!$B$2:$B$53 + Settings!$B$4/24) &gt; A620))&gt;0)</f>
        <v>0</v>
      </c>
      <c r="D620">
        <f>--(SUMPRODUCT((Data!$C$2:$C$53="K12")*((Data!$A$2:$A$53 - Settings!$B$4/24) &lt;= A620)*((Data!$B$2:$B$53 + Settings!$B$4/24) &gt; A620))&gt;0)</f>
        <v>1</v>
      </c>
      <c r="E620">
        <f>--(SUMPRODUCT((Data!$C$2:$C$53="K12B")*((Data!$A$2:$A$53 - Settings!$B$4/24) &lt;= A620)*((Data!$B$2:$B$53 + Settings!$B$4/24) &gt; A620))&gt;0)</f>
        <v>0</v>
      </c>
      <c r="F620">
        <f>--(SUMPRODUCT((Data!$C$2:$C$53="TT2")*((Data!$A$2:$A$53 - Settings!$B$4/24) &lt;= A620)*((Data!$B$2:$B$53 + Settings!$B$4/24) &gt; A620))&gt;0)</f>
        <v>0</v>
      </c>
    </row>
    <row r="621" spans="1:6" ht="15.6" x14ac:dyDescent="0.3">
      <c r="A621" s="1">
        <v>45957.792013888888</v>
      </c>
      <c r="B621">
        <f>--(SUMPRODUCT((Data!$C$2:$C$53="K12C")*((Data!$A$2:$A$53 - Settings!$B$4/24) &lt;= A621)*((Data!$B$2:$B$53 + Settings!$B$4/24) &gt; A621))&gt;0)</f>
        <v>1</v>
      </c>
      <c r="C621">
        <f>--(SUMPRODUCT((Data!$C$2:$C$53="K12A")*((Data!$A$2:$A$53 - Settings!$B$4/24) &lt;= A621)*((Data!$B$2:$B$53 + Settings!$B$4/24) &gt; A621))&gt;0)</f>
        <v>1</v>
      </c>
      <c r="D621">
        <f>--(SUMPRODUCT((Data!$C$2:$C$53="K12")*((Data!$A$2:$A$53 - Settings!$B$4/24) &lt;= A621)*((Data!$B$2:$B$53 + Settings!$B$4/24) &gt; A621))&gt;0)</f>
        <v>1</v>
      </c>
      <c r="E621">
        <f>--(SUMPRODUCT((Data!$C$2:$C$53="K12B")*((Data!$A$2:$A$53 - Settings!$B$4/24) &lt;= A621)*((Data!$B$2:$B$53 + Settings!$B$4/24) &gt; A621))&gt;0)</f>
        <v>0</v>
      </c>
      <c r="F621">
        <f>--(SUMPRODUCT((Data!$C$2:$C$53="TT2")*((Data!$A$2:$A$53 - Settings!$B$4/24) &lt;= A621)*((Data!$B$2:$B$53 + Settings!$B$4/24) &gt; A621))&gt;0)</f>
        <v>0</v>
      </c>
    </row>
    <row r="622" spans="1:6" ht="15.6" x14ac:dyDescent="0.3">
      <c r="A622" s="1">
        <v>45957.833680555559</v>
      </c>
      <c r="B622">
        <f>--(SUMPRODUCT((Data!$C$2:$C$53="K12C")*((Data!$A$2:$A$53 - Settings!$B$4/24) &lt;= A622)*((Data!$B$2:$B$53 + Settings!$B$4/24) &gt; A622))&gt;0)</f>
        <v>1</v>
      </c>
      <c r="C622">
        <f>--(SUMPRODUCT((Data!$C$2:$C$53="K12A")*((Data!$A$2:$A$53 - Settings!$B$4/24) &lt;= A622)*((Data!$B$2:$B$53 + Settings!$B$4/24) &gt; A622))&gt;0)</f>
        <v>1</v>
      </c>
      <c r="D622">
        <f>--(SUMPRODUCT((Data!$C$2:$C$53="K12")*((Data!$A$2:$A$53 - Settings!$B$4/24) &lt;= A622)*((Data!$B$2:$B$53 + Settings!$B$4/24) &gt; A622))&gt;0)</f>
        <v>1</v>
      </c>
      <c r="E622">
        <f>--(SUMPRODUCT((Data!$C$2:$C$53="K12B")*((Data!$A$2:$A$53 - Settings!$B$4/24) &lt;= A622)*((Data!$B$2:$B$53 + Settings!$B$4/24) &gt; A622))&gt;0)</f>
        <v>0</v>
      </c>
      <c r="F622">
        <f>--(SUMPRODUCT((Data!$C$2:$C$53="TT2")*((Data!$A$2:$A$53 - Settings!$B$4/24) &lt;= A622)*((Data!$B$2:$B$53 + Settings!$B$4/24) &gt; A622))&gt;0)</f>
        <v>0</v>
      </c>
    </row>
    <row r="623" spans="1:6" ht="15.6" x14ac:dyDescent="0.3">
      <c r="A623" s="1">
        <v>45957.875347222223</v>
      </c>
      <c r="B623">
        <f>--(SUMPRODUCT((Data!$C$2:$C$53="K12C")*((Data!$A$2:$A$53 - Settings!$B$4/24) &lt;= A623)*((Data!$B$2:$B$53 + Settings!$B$4/24) &gt; A623))&gt;0)</f>
        <v>1</v>
      </c>
      <c r="C623">
        <f>--(SUMPRODUCT((Data!$C$2:$C$53="K12A")*((Data!$A$2:$A$53 - Settings!$B$4/24) &lt;= A623)*((Data!$B$2:$B$53 + Settings!$B$4/24) &gt; A623))&gt;0)</f>
        <v>1</v>
      </c>
      <c r="D623">
        <f>--(SUMPRODUCT((Data!$C$2:$C$53="K12")*((Data!$A$2:$A$53 - Settings!$B$4/24) &lt;= A623)*((Data!$B$2:$B$53 + Settings!$B$4/24) &gt; A623))&gt;0)</f>
        <v>1</v>
      </c>
      <c r="E623">
        <f>--(SUMPRODUCT((Data!$C$2:$C$53="K12B")*((Data!$A$2:$A$53 - Settings!$B$4/24) &lt;= A623)*((Data!$B$2:$B$53 + Settings!$B$4/24) &gt; A623))&gt;0)</f>
        <v>0</v>
      </c>
      <c r="F623">
        <f>--(SUMPRODUCT((Data!$C$2:$C$53="TT2")*((Data!$A$2:$A$53 - Settings!$B$4/24) &lt;= A623)*((Data!$B$2:$B$53 + Settings!$B$4/24) &gt; A623))&gt;0)</f>
        <v>0</v>
      </c>
    </row>
    <row r="624" spans="1:6" ht="15.6" x14ac:dyDescent="0.3">
      <c r="A624" s="1">
        <v>45957.917013888888</v>
      </c>
      <c r="B624">
        <f>--(SUMPRODUCT((Data!$C$2:$C$53="K12C")*((Data!$A$2:$A$53 - Settings!$B$4/24) &lt;= A624)*((Data!$B$2:$B$53 + Settings!$B$4/24) &gt; A624))&gt;0)</f>
        <v>1</v>
      </c>
      <c r="C624">
        <f>--(SUMPRODUCT((Data!$C$2:$C$53="K12A")*((Data!$A$2:$A$53 - Settings!$B$4/24) &lt;= A624)*((Data!$B$2:$B$53 + Settings!$B$4/24) &gt; A624))&gt;0)</f>
        <v>1</v>
      </c>
      <c r="D624">
        <f>--(SUMPRODUCT((Data!$C$2:$C$53="K12")*((Data!$A$2:$A$53 - Settings!$B$4/24) &lt;= A624)*((Data!$B$2:$B$53 + Settings!$B$4/24) &gt; A624))&gt;0)</f>
        <v>1</v>
      </c>
      <c r="E624">
        <f>--(SUMPRODUCT((Data!$C$2:$C$53="K12B")*((Data!$A$2:$A$53 - Settings!$B$4/24) &lt;= A624)*((Data!$B$2:$B$53 + Settings!$B$4/24) &gt; A624))&gt;0)</f>
        <v>0</v>
      </c>
      <c r="F624">
        <f>--(SUMPRODUCT((Data!$C$2:$C$53="TT2")*((Data!$A$2:$A$53 - Settings!$B$4/24) &lt;= A624)*((Data!$B$2:$B$53 + Settings!$B$4/24) &gt; A624))&gt;0)</f>
        <v>0</v>
      </c>
    </row>
    <row r="625" spans="1:6" ht="15.6" x14ac:dyDescent="0.3">
      <c r="A625" s="1">
        <v>45957.958680555559</v>
      </c>
      <c r="B625">
        <f>--(SUMPRODUCT((Data!$C$2:$C$53="K12C")*((Data!$A$2:$A$53 - Settings!$B$4/24) &lt;= A625)*((Data!$B$2:$B$53 + Settings!$B$4/24) &gt; A625))&gt;0)</f>
        <v>1</v>
      </c>
      <c r="C625">
        <f>--(SUMPRODUCT((Data!$C$2:$C$53="K12A")*((Data!$A$2:$A$53 - Settings!$B$4/24) &lt;= A625)*((Data!$B$2:$B$53 + Settings!$B$4/24) &gt; A625))&gt;0)</f>
        <v>1</v>
      </c>
      <c r="D625">
        <f>--(SUMPRODUCT((Data!$C$2:$C$53="K12")*((Data!$A$2:$A$53 - Settings!$B$4/24) &lt;= A625)*((Data!$B$2:$B$53 + Settings!$B$4/24) &gt; A625))&gt;0)</f>
        <v>1</v>
      </c>
      <c r="E625">
        <f>--(SUMPRODUCT((Data!$C$2:$C$53="K12B")*((Data!$A$2:$A$53 - Settings!$B$4/24) &lt;= A625)*((Data!$B$2:$B$53 + Settings!$B$4/24) &gt; A625))&gt;0)</f>
        <v>1</v>
      </c>
      <c r="F625">
        <f>--(SUMPRODUCT((Data!$C$2:$C$53="TT2")*((Data!$A$2:$A$53 - Settings!$B$4/24) &lt;= A625)*((Data!$B$2:$B$53 + Settings!$B$4/24) &gt; A625))&gt;0)</f>
        <v>0</v>
      </c>
    </row>
    <row r="626" spans="1:6" ht="15.6" x14ac:dyDescent="0.3">
      <c r="A626" s="1">
        <v>45958.000347222223</v>
      </c>
      <c r="B626">
        <f>--(SUMPRODUCT((Data!$C$2:$C$53="K12C")*((Data!$A$2:$A$53 - Settings!$B$4/24) &lt;= A626)*((Data!$B$2:$B$53 + Settings!$B$4/24) &gt; A626))&gt;0)</f>
        <v>1</v>
      </c>
      <c r="C626">
        <f>--(SUMPRODUCT((Data!$C$2:$C$53="K12A")*((Data!$A$2:$A$53 - Settings!$B$4/24) &lt;= A626)*((Data!$B$2:$B$53 + Settings!$B$4/24) &gt; A626))&gt;0)</f>
        <v>1</v>
      </c>
      <c r="D626">
        <f>--(SUMPRODUCT((Data!$C$2:$C$53="K12")*((Data!$A$2:$A$53 - Settings!$B$4/24) &lt;= A626)*((Data!$B$2:$B$53 + Settings!$B$4/24) &gt; A626))&gt;0)</f>
        <v>1</v>
      </c>
      <c r="E626">
        <f>--(SUMPRODUCT((Data!$C$2:$C$53="K12B")*((Data!$A$2:$A$53 - Settings!$B$4/24) &lt;= A626)*((Data!$B$2:$B$53 + Settings!$B$4/24) &gt; A626))&gt;0)</f>
        <v>1</v>
      </c>
      <c r="F626">
        <f>--(SUMPRODUCT((Data!$C$2:$C$53="TT2")*((Data!$A$2:$A$53 - Settings!$B$4/24) &lt;= A626)*((Data!$B$2:$B$53 + Settings!$B$4/24) &gt; A626))&gt;0)</f>
        <v>0</v>
      </c>
    </row>
    <row r="627" spans="1:6" ht="15.6" x14ac:dyDescent="0.3">
      <c r="A627" s="1">
        <v>45958.042013888888</v>
      </c>
      <c r="B627">
        <f>--(SUMPRODUCT((Data!$C$2:$C$53="K12C")*((Data!$A$2:$A$53 - Settings!$B$4/24) &lt;= A627)*((Data!$B$2:$B$53 + Settings!$B$4/24) &gt; A627))&gt;0)</f>
        <v>1</v>
      </c>
      <c r="C627">
        <f>--(SUMPRODUCT((Data!$C$2:$C$53="K12A")*((Data!$A$2:$A$53 - Settings!$B$4/24) &lt;= A627)*((Data!$B$2:$B$53 + Settings!$B$4/24) &gt; A627))&gt;0)</f>
        <v>1</v>
      </c>
      <c r="D627">
        <f>--(SUMPRODUCT((Data!$C$2:$C$53="K12")*((Data!$A$2:$A$53 - Settings!$B$4/24) &lt;= A627)*((Data!$B$2:$B$53 + Settings!$B$4/24) &gt; A627))&gt;0)</f>
        <v>1</v>
      </c>
      <c r="E627">
        <f>--(SUMPRODUCT((Data!$C$2:$C$53="K12B")*((Data!$A$2:$A$53 - Settings!$B$4/24) &lt;= A627)*((Data!$B$2:$B$53 + Settings!$B$4/24) &gt; A627))&gt;0)</f>
        <v>1</v>
      </c>
      <c r="F627">
        <f>--(SUMPRODUCT((Data!$C$2:$C$53="TT2")*((Data!$A$2:$A$53 - Settings!$B$4/24) &lt;= A627)*((Data!$B$2:$B$53 + Settings!$B$4/24) &gt; A627))&gt;0)</f>
        <v>0</v>
      </c>
    </row>
    <row r="628" spans="1:6" ht="15.6" x14ac:dyDescent="0.3">
      <c r="A628" s="1">
        <v>45958.083680555559</v>
      </c>
      <c r="B628">
        <f>--(SUMPRODUCT((Data!$C$2:$C$53="K12C")*((Data!$A$2:$A$53 - Settings!$B$4/24) &lt;= A628)*((Data!$B$2:$B$53 + Settings!$B$4/24) &gt; A628))&gt;0)</f>
        <v>1</v>
      </c>
      <c r="C628">
        <f>--(SUMPRODUCT((Data!$C$2:$C$53="K12A")*((Data!$A$2:$A$53 - Settings!$B$4/24) &lt;= A628)*((Data!$B$2:$B$53 + Settings!$B$4/24) &gt; A628))&gt;0)</f>
        <v>1</v>
      </c>
      <c r="D628">
        <f>--(SUMPRODUCT((Data!$C$2:$C$53="K12")*((Data!$A$2:$A$53 - Settings!$B$4/24) &lt;= A628)*((Data!$B$2:$B$53 + Settings!$B$4/24) &gt; A628))&gt;0)</f>
        <v>1</v>
      </c>
      <c r="E628">
        <f>--(SUMPRODUCT((Data!$C$2:$C$53="K12B")*((Data!$A$2:$A$53 - Settings!$B$4/24) &lt;= A628)*((Data!$B$2:$B$53 + Settings!$B$4/24) &gt; A628))&gt;0)</f>
        <v>1</v>
      </c>
      <c r="F628">
        <f>--(SUMPRODUCT((Data!$C$2:$C$53="TT2")*((Data!$A$2:$A$53 - Settings!$B$4/24) &lt;= A628)*((Data!$B$2:$B$53 + Settings!$B$4/24) &gt; A628))&gt;0)</f>
        <v>0</v>
      </c>
    </row>
    <row r="629" spans="1:6" ht="15.6" x14ac:dyDescent="0.3">
      <c r="A629" s="1">
        <v>45958.125347222223</v>
      </c>
      <c r="B629">
        <f>--(SUMPRODUCT((Data!$C$2:$C$53="K12C")*((Data!$A$2:$A$53 - Settings!$B$4/24) &lt;= A629)*((Data!$B$2:$B$53 + Settings!$B$4/24) &gt; A629))&gt;0)</f>
        <v>1</v>
      </c>
      <c r="C629">
        <f>--(SUMPRODUCT((Data!$C$2:$C$53="K12A")*((Data!$A$2:$A$53 - Settings!$B$4/24) &lt;= A629)*((Data!$B$2:$B$53 + Settings!$B$4/24) &gt; A629))&gt;0)</f>
        <v>1</v>
      </c>
      <c r="D629">
        <f>--(SUMPRODUCT((Data!$C$2:$C$53="K12")*((Data!$A$2:$A$53 - Settings!$B$4/24) &lt;= A629)*((Data!$B$2:$B$53 + Settings!$B$4/24) &gt; A629))&gt;0)</f>
        <v>1</v>
      </c>
      <c r="E629">
        <f>--(SUMPRODUCT((Data!$C$2:$C$53="K12B")*((Data!$A$2:$A$53 - Settings!$B$4/24) &lt;= A629)*((Data!$B$2:$B$53 + Settings!$B$4/24) &gt; A629))&gt;0)</f>
        <v>1</v>
      </c>
      <c r="F629">
        <f>--(SUMPRODUCT((Data!$C$2:$C$53="TT2")*((Data!$A$2:$A$53 - Settings!$B$4/24) &lt;= A629)*((Data!$B$2:$B$53 + Settings!$B$4/24) &gt; A629))&gt;0)</f>
        <v>0</v>
      </c>
    </row>
    <row r="630" spans="1:6" ht="15.6" x14ac:dyDescent="0.3">
      <c r="A630" s="1">
        <v>45958.167013888888</v>
      </c>
      <c r="B630">
        <f>--(SUMPRODUCT((Data!$C$2:$C$53="K12C")*((Data!$A$2:$A$53 - Settings!$B$4/24) &lt;= A630)*((Data!$B$2:$B$53 + Settings!$B$4/24) &gt; A630))&gt;0)</f>
        <v>1</v>
      </c>
      <c r="C630">
        <f>--(SUMPRODUCT((Data!$C$2:$C$53="K12A")*((Data!$A$2:$A$53 - Settings!$B$4/24) &lt;= A630)*((Data!$B$2:$B$53 + Settings!$B$4/24) &gt; A630))&gt;0)</f>
        <v>1</v>
      </c>
      <c r="D630">
        <f>--(SUMPRODUCT((Data!$C$2:$C$53="K12")*((Data!$A$2:$A$53 - Settings!$B$4/24) &lt;= A630)*((Data!$B$2:$B$53 + Settings!$B$4/24) &gt; A630))&gt;0)</f>
        <v>1</v>
      </c>
      <c r="E630">
        <f>--(SUMPRODUCT((Data!$C$2:$C$53="K12B")*((Data!$A$2:$A$53 - Settings!$B$4/24) &lt;= A630)*((Data!$B$2:$B$53 + Settings!$B$4/24) &gt; A630))&gt;0)</f>
        <v>1</v>
      </c>
      <c r="F630">
        <f>--(SUMPRODUCT((Data!$C$2:$C$53="TT2")*((Data!$A$2:$A$53 - Settings!$B$4/24) &lt;= A630)*((Data!$B$2:$B$53 + Settings!$B$4/24) &gt; A630))&gt;0)</f>
        <v>0</v>
      </c>
    </row>
    <row r="631" spans="1:6" ht="15.6" x14ac:dyDescent="0.3">
      <c r="A631" s="1">
        <v>45958.208680555559</v>
      </c>
      <c r="B631">
        <f>--(SUMPRODUCT((Data!$C$2:$C$53="K12C")*((Data!$A$2:$A$53 - Settings!$B$4/24) &lt;= A631)*((Data!$B$2:$B$53 + Settings!$B$4/24) &gt; A631))&gt;0)</f>
        <v>1</v>
      </c>
      <c r="C631">
        <f>--(SUMPRODUCT((Data!$C$2:$C$53="K12A")*((Data!$A$2:$A$53 - Settings!$B$4/24) &lt;= A631)*((Data!$B$2:$B$53 + Settings!$B$4/24) &gt; A631))&gt;0)</f>
        <v>1</v>
      </c>
      <c r="D631">
        <f>--(SUMPRODUCT((Data!$C$2:$C$53="K12")*((Data!$A$2:$A$53 - Settings!$B$4/24) &lt;= A631)*((Data!$B$2:$B$53 + Settings!$B$4/24) &gt; A631))&gt;0)</f>
        <v>1</v>
      </c>
      <c r="E631">
        <f>--(SUMPRODUCT((Data!$C$2:$C$53="K12B")*((Data!$A$2:$A$53 - Settings!$B$4/24) &lt;= A631)*((Data!$B$2:$B$53 + Settings!$B$4/24) &gt; A631))&gt;0)</f>
        <v>1</v>
      </c>
      <c r="F631">
        <f>--(SUMPRODUCT((Data!$C$2:$C$53="TT2")*((Data!$A$2:$A$53 - Settings!$B$4/24) &lt;= A631)*((Data!$B$2:$B$53 + Settings!$B$4/24) &gt; A631))&gt;0)</f>
        <v>0</v>
      </c>
    </row>
    <row r="632" spans="1:6" ht="15.6" x14ac:dyDescent="0.3">
      <c r="A632" s="1">
        <v>45958.250347222223</v>
      </c>
      <c r="B632">
        <f>--(SUMPRODUCT((Data!$C$2:$C$53="K12C")*((Data!$A$2:$A$53 - Settings!$B$4/24) &lt;= A632)*((Data!$B$2:$B$53 + Settings!$B$4/24) &gt; A632))&gt;0)</f>
        <v>1</v>
      </c>
      <c r="C632">
        <f>--(SUMPRODUCT((Data!$C$2:$C$53="K12A")*((Data!$A$2:$A$53 - Settings!$B$4/24) &lt;= A632)*((Data!$B$2:$B$53 + Settings!$B$4/24) &gt; A632))&gt;0)</f>
        <v>1</v>
      </c>
      <c r="D632">
        <f>--(SUMPRODUCT((Data!$C$2:$C$53="K12")*((Data!$A$2:$A$53 - Settings!$B$4/24) &lt;= A632)*((Data!$B$2:$B$53 + Settings!$B$4/24) &gt; A632))&gt;0)</f>
        <v>1</v>
      </c>
      <c r="E632">
        <f>--(SUMPRODUCT((Data!$C$2:$C$53="K12B")*((Data!$A$2:$A$53 - Settings!$B$4/24) &lt;= A632)*((Data!$B$2:$B$53 + Settings!$B$4/24) &gt; A632))&gt;0)</f>
        <v>1</v>
      </c>
      <c r="F632">
        <f>--(SUMPRODUCT((Data!$C$2:$C$53="TT2")*((Data!$A$2:$A$53 - Settings!$B$4/24) &lt;= A632)*((Data!$B$2:$B$53 + Settings!$B$4/24) &gt; A632))&gt;0)</f>
        <v>0</v>
      </c>
    </row>
    <row r="633" spans="1:6" ht="15.6" x14ac:dyDescent="0.3">
      <c r="A633" s="1">
        <v>45958.292013888888</v>
      </c>
      <c r="B633">
        <f>--(SUMPRODUCT((Data!$C$2:$C$53="K12C")*((Data!$A$2:$A$53 - Settings!$B$4/24) &lt;= A633)*((Data!$B$2:$B$53 + Settings!$B$4/24) &gt; A633))&gt;0)</f>
        <v>1</v>
      </c>
      <c r="C633">
        <f>--(SUMPRODUCT((Data!$C$2:$C$53="K12A")*((Data!$A$2:$A$53 - Settings!$B$4/24) &lt;= A633)*((Data!$B$2:$B$53 + Settings!$B$4/24) &gt; A633))&gt;0)</f>
        <v>1</v>
      </c>
      <c r="D633">
        <f>--(SUMPRODUCT((Data!$C$2:$C$53="K12")*((Data!$A$2:$A$53 - Settings!$B$4/24) &lt;= A633)*((Data!$B$2:$B$53 + Settings!$B$4/24) &gt; A633))&gt;0)</f>
        <v>1</v>
      </c>
      <c r="E633">
        <f>--(SUMPRODUCT((Data!$C$2:$C$53="K12B")*((Data!$A$2:$A$53 - Settings!$B$4/24) &lt;= A633)*((Data!$B$2:$B$53 + Settings!$B$4/24) &gt; A633))&gt;0)</f>
        <v>1</v>
      </c>
      <c r="F633">
        <f>--(SUMPRODUCT((Data!$C$2:$C$53="TT2")*((Data!$A$2:$A$53 - Settings!$B$4/24) &lt;= A633)*((Data!$B$2:$B$53 + Settings!$B$4/24) &gt; A633))&gt;0)</f>
        <v>0</v>
      </c>
    </row>
    <row r="634" spans="1:6" ht="15.6" x14ac:dyDescent="0.3">
      <c r="A634" s="1">
        <v>45958.333680555559</v>
      </c>
      <c r="B634">
        <f>--(SUMPRODUCT((Data!$C$2:$C$53="K12C")*((Data!$A$2:$A$53 - Settings!$B$4/24) &lt;= A634)*((Data!$B$2:$B$53 + Settings!$B$4/24) &gt; A634))&gt;0)</f>
        <v>1</v>
      </c>
      <c r="C634">
        <f>--(SUMPRODUCT((Data!$C$2:$C$53="K12A")*((Data!$A$2:$A$53 - Settings!$B$4/24) &lt;= A634)*((Data!$B$2:$B$53 + Settings!$B$4/24) &gt; A634))&gt;0)</f>
        <v>1</v>
      </c>
      <c r="D634">
        <f>--(SUMPRODUCT((Data!$C$2:$C$53="K12")*((Data!$A$2:$A$53 - Settings!$B$4/24) &lt;= A634)*((Data!$B$2:$B$53 + Settings!$B$4/24) &gt; A634))&gt;0)</f>
        <v>1</v>
      </c>
      <c r="E634">
        <f>--(SUMPRODUCT((Data!$C$2:$C$53="K12B")*((Data!$A$2:$A$53 - Settings!$B$4/24) &lt;= A634)*((Data!$B$2:$B$53 + Settings!$B$4/24) &gt; A634))&gt;0)</f>
        <v>1</v>
      </c>
      <c r="F634">
        <f>--(SUMPRODUCT((Data!$C$2:$C$53="TT2")*((Data!$A$2:$A$53 - Settings!$B$4/24) &lt;= A634)*((Data!$B$2:$B$53 + Settings!$B$4/24) &gt; A634))&gt;0)</f>
        <v>0</v>
      </c>
    </row>
    <row r="635" spans="1:6" ht="15.6" x14ac:dyDescent="0.3">
      <c r="A635" s="1">
        <v>45958.375347222223</v>
      </c>
      <c r="B635">
        <f>--(SUMPRODUCT((Data!$C$2:$C$53="K12C")*((Data!$A$2:$A$53 - Settings!$B$4/24) &lt;= A635)*((Data!$B$2:$B$53 + Settings!$B$4/24) &gt; A635))&gt;0)</f>
        <v>1</v>
      </c>
      <c r="C635">
        <f>--(SUMPRODUCT((Data!$C$2:$C$53="K12A")*((Data!$A$2:$A$53 - Settings!$B$4/24) &lt;= A635)*((Data!$B$2:$B$53 + Settings!$B$4/24) &gt; A635))&gt;0)</f>
        <v>1</v>
      </c>
      <c r="D635">
        <f>--(SUMPRODUCT((Data!$C$2:$C$53="K12")*((Data!$A$2:$A$53 - Settings!$B$4/24) &lt;= A635)*((Data!$B$2:$B$53 + Settings!$B$4/24) &gt; A635))&gt;0)</f>
        <v>1</v>
      </c>
      <c r="E635">
        <f>--(SUMPRODUCT((Data!$C$2:$C$53="K12B")*((Data!$A$2:$A$53 - Settings!$B$4/24) &lt;= A635)*((Data!$B$2:$B$53 + Settings!$B$4/24) &gt; A635))&gt;0)</f>
        <v>1</v>
      </c>
      <c r="F635">
        <f>--(SUMPRODUCT((Data!$C$2:$C$53="TT2")*((Data!$A$2:$A$53 - Settings!$B$4/24) &lt;= A635)*((Data!$B$2:$B$53 + Settings!$B$4/24) &gt; A635))&gt;0)</f>
        <v>0</v>
      </c>
    </row>
    <row r="636" spans="1:6" ht="15.6" x14ac:dyDescent="0.3">
      <c r="A636" s="1">
        <v>45958.417013888888</v>
      </c>
      <c r="B636">
        <f>--(SUMPRODUCT((Data!$C$2:$C$53="K12C")*((Data!$A$2:$A$53 - Settings!$B$4/24) &lt;= A636)*((Data!$B$2:$B$53 + Settings!$B$4/24) &gt; A636))&gt;0)</f>
        <v>1</v>
      </c>
      <c r="C636">
        <f>--(SUMPRODUCT((Data!$C$2:$C$53="K12A")*((Data!$A$2:$A$53 - Settings!$B$4/24) &lt;= A636)*((Data!$B$2:$B$53 + Settings!$B$4/24) &gt; A636))&gt;0)</f>
        <v>1</v>
      </c>
      <c r="D636">
        <f>--(SUMPRODUCT((Data!$C$2:$C$53="K12")*((Data!$A$2:$A$53 - Settings!$B$4/24) &lt;= A636)*((Data!$B$2:$B$53 + Settings!$B$4/24) &gt; A636))&gt;0)</f>
        <v>1</v>
      </c>
      <c r="E636">
        <f>--(SUMPRODUCT((Data!$C$2:$C$53="K12B")*((Data!$A$2:$A$53 - Settings!$B$4/24) &lt;= A636)*((Data!$B$2:$B$53 + Settings!$B$4/24) &gt; A636))&gt;0)</f>
        <v>1</v>
      </c>
      <c r="F636">
        <f>--(SUMPRODUCT((Data!$C$2:$C$53="TT2")*((Data!$A$2:$A$53 - Settings!$B$4/24) &lt;= A636)*((Data!$B$2:$B$53 + Settings!$B$4/24) &gt; A636))&gt;0)</f>
        <v>0</v>
      </c>
    </row>
    <row r="637" spans="1:6" ht="15.6" x14ac:dyDescent="0.3">
      <c r="A637" s="1">
        <v>45958.458680555559</v>
      </c>
      <c r="B637">
        <f>--(SUMPRODUCT((Data!$C$2:$C$53="K12C")*((Data!$A$2:$A$53 - Settings!$B$4/24) &lt;= A637)*((Data!$B$2:$B$53 + Settings!$B$4/24) &gt; A637))&gt;0)</f>
        <v>1</v>
      </c>
      <c r="C637">
        <f>--(SUMPRODUCT((Data!$C$2:$C$53="K12A")*((Data!$A$2:$A$53 - Settings!$B$4/24) &lt;= A637)*((Data!$B$2:$B$53 + Settings!$B$4/24) &gt; A637))&gt;0)</f>
        <v>1</v>
      </c>
      <c r="D637">
        <f>--(SUMPRODUCT((Data!$C$2:$C$53="K12")*((Data!$A$2:$A$53 - Settings!$B$4/24) &lt;= A637)*((Data!$B$2:$B$53 + Settings!$B$4/24) &gt; A637))&gt;0)</f>
        <v>1</v>
      </c>
      <c r="E637">
        <f>--(SUMPRODUCT((Data!$C$2:$C$53="K12B")*((Data!$A$2:$A$53 - Settings!$B$4/24) &lt;= A637)*((Data!$B$2:$B$53 + Settings!$B$4/24) &gt; A637))&gt;0)</f>
        <v>1</v>
      </c>
      <c r="F637">
        <f>--(SUMPRODUCT((Data!$C$2:$C$53="TT2")*((Data!$A$2:$A$53 - Settings!$B$4/24) &lt;= A637)*((Data!$B$2:$B$53 + Settings!$B$4/24) &gt; A637))&gt;0)</f>
        <v>0</v>
      </c>
    </row>
    <row r="638" spans="1:6" ht="15.6" x14ac:dyDescent="0.3">
      <c r="A638" s="1">
        <v>45958.500347222223</v>
      </c>
      <c r="B638">
        <f>--(SUMPRODUCT((Data!$C$2:$C$53="K12C")*((Data!$A$2:$A$53 - Settings!$B$4/24) &lt;= A638)*((Data!$B$2:$B$53 + Settings!$B$4/24) &gt; A638))&gt;0)</f>
        <v>1</v>
      </c>
      <c r="C638">
        <f>--(SUMPRODUCT((Data!$C$2:$C$53="K12A")*((Data!$A$2:$A$53 - Settings!$B$4/24) &lt;= A638)*((Data!$B$2:$B$53 + Settings!$B$4/24) &gt; A638))&gt;0)</f>
        <v>1</v>
      </c>
      <c r="D638">
        <f>--(SUMPRODUCT((Data!$C$2:$C$53="K12")*((Data!$A$2:$A$53 - Settings!$B$4/24) &lt;= A638)*((Data!$B$2:$B$53 + Settings!$B$4/24) &gt; A638))&gt;0)</f>
        <v>1</v>
      </c>
      <c r="E638">
        <f>--(SUMPRODUCT((Data!$C$2:$C$53="K12B")*((Data!$A$2:$A$53 - Settings!$B$4/24) &lt;= A638)*((Data!$B$2:$B$53 + Settings!$B$4/24) &gt; A638))&gt;0)</f>
        <v>1</v>
      </c>
      <c r="F638">
        <f>--(SUMPRODUCT((Data!$C$2:$C$53="TT2")*((Data!$A$2:$A$53 - Settings!$B$4/24) &lt;= A638)*((Data!$B$2:$B$53 + Settings!$B$4/24) &gt; A638))&gt;0)</f>
        <v>0</v>
      </c>
    </row>
    <row r="639" spans="1:6" ht="15.6" x14ac:dyDescent="0.3">
      <c r="A639" s="1">
        <v>45958.542013888888</v>
      </c>
      <c r="B639">
        <f>--(SUMPRODUCT((Data!$C$2:$C$53="K12C")*((Data!$A$2:$A$53 - Settings!$B$4/24) &lt;= A639)*((Data!$B$2:$B$53 + Settings!$B$4/24) &gt; A639))&gt;0)</f>
        <v>1</v>
      </c>
      <c r="C639">
        <f>--(SUMPRODUCT((Data!$C$2:$C$53="K12A")*((Data!$A$2:$A$53 - Settings!$B$4/24) &lt;= A639)*((Data!$B$2:$B$53 + Settings!$B$4/24) &gt; A639))&gt;0)</f>
        <v>1</v>
      </c>
      <c r="D639">
        <f>--(SUMPRODUCT((Data!$C$2:$C$53="K12")*((Data!$A$2:$A$53 - Settings!$B$4/24) &lt;= A639)*((Data!$B$2:$B$53 + Settings!$B$4/24) &gt; A639))&gt;0)</f>
        <v>1</v>
      </c>
      <c r="E639">
        <f>--(SUMPRODUCT((Data!$C$2:$C$53="K12B")*((Data!$A$2:$A$53 - Settings!$B$4/24) &lt;= A639)*((Data!$B$2:$B$53 + Settings!$B$4/24) &gt; A639))&gt;0)</f>
        <v>1</v>
      </c>
      <c r="F639">
        <f>--(SUMPRODUCT((Data!$C$2:$C$53="TT2")*((Data!$A$2:$A$53 - Settings!$B$4/24) &lt;= A639)*((Data!$B$2:$B$53 + Settings!$B$4/24) &gt; A639))&gt;0)</f>
        <v>0</v>
      </c>
    </row>
    <row r="640" spans="1:6" ht="15.6" x14ac:dyDescent="0.3">
      <c r="A640" s="1">
        <v>45958.583680555559</v>
      </c>
      <c r="B640">
        <f>--(SUMPRODUCT((Data!$C$2:$C$53="K12C")*((Data!$A$2:$A$53 - Settings!$B$4/24) &lt;= A640)*((Data!$B$2:$B$53 + Settings!$B$4/24) &gt; A640))&gt;0)</f>
        <v>1</v>
      </c>
      <c r="C640">
        <f>--(SUMPRODUCT((Data!$C$2:$C$53="K12A")*((Data!$A$2:$A$53 - Settings!$B$4/24) &lt;= A640)*((Data!$B$2:$B$53 + Settings!$B$4/24) &gt; A640))&gt;0)</f>
        <v>1</v>
      </c>
      <c r="D640">
        <f>--(SUMPRODUCT((Data!$C$2:$C$53="K12")*((Data!$A$2:$A$53 - Settings!$B$4/24) &lt;= A640)*((Data!$B$2:$B$53 + Settings!$B$4/24) &gt; A640))&gt;0)</f>
        <v>1</v>
      </c>
      <c r="E640">
        <f>--(SUMPRODUCT((Data!$C$2:$C$53="K12B")*((Data!$A$2:$A$53 - Settings!$B$4/24) &lt;= A640)*((Data!$B$2:$B$53 + Settings!$B$4/24) &gt; A640))&gt;0)</f>
        <v>1</v>
      </c>
      <c r="F640">
        <f>--(SUMPRODUCT((Data!$C$2:$C$53="TT2")*((Data!$A$2:$A$53 - Settings!$B$4/24) &lt;= A640)*((Data!$B$2:$B$53 + Settings!$B$4/24) &gt; A640))&gt;0)</f>
        <v>0</v>
      </c>
    </row>
    <row r="641" spans="1:6" ht="15.6" x14ac:dyDescent="0.3">
      <c r="A641" s="1">
        <v>45958.625347222223</v>
      </c>
      <c r="B641">
        <f>--(SUMPRODUCT((Data!$C$2:$C$53="K12C")*((Data!$A$2:$A$53 - Settings!$B$4/24) &lt;= A641)*((Data!$B$2:$B$53 + Settings!$B$4/24) &gt; A641))&gt;0)</f>
        <v>1</v>
      </c>
      <c r="C641">
        <f>--(SUMPRODUCT((Data!$C$2:$C$53="K12A")*((Data!$A$2:$A$53 - Settings!$B$4/24) &lt;= A641)*((Data!$B$2:$B$53 + Settings!$B$4/24) &gt; A641))&gt;0)</f>
        <v>1</v>
      </c>
      <c r="D641">
        <f>--(SUMPRODUCT((Data!$C$2:$C$53="K12")*((Data!$A$2:$A$53 - Settings!$B$4/24) &lt;= A641)*((Data!$B$2:$B$53 + Settings!$B$4/24) &gt; A641))&gt;0)</f>
        <v>1</v>
      </c>
      <c r="E641">
        <f>--(SUMPRODUCT((Data!$C$2:$C$53="K12B")*((Data!$A$2:$A$53 - Settings!$B$4/24) &lt;= A641)*((Data!$B$2:$B$53 + Settings!$B$4/24) &gt; A641))&gt;0)</f>
        <v>1</v>
      </c>
      <c r="F641">
        <f>--(SUMPRODUCT((Data!$C$2:$C$53="TT2")*((Data!$A$2:$A$53 - Settings!$B$4/24) &lt;= A641)*((Data!$B$2:$B$53 + Settings!$B$4/24) &gt; A641))&gt;0)</f>
        <v>1</v>
      </c>
    </row>
    <row r="642" spans="1:6" ht="15.6" x14ac:dyDescent="0.3">
      <c r="A642" s="1">
        <v>45958.667013888888</v>
      </c>
      <c r="B642">
        <f>--(SUMPRODUCT((Data!$C$2:$C$53="K12C")*((Data!$A$2:$A$53 - Settings!$B$4/24) &lt;= A642)*((Data!$B$2:$B$53 + Settings!$B$4/24) &gt; A642))&gt;0)</f>
        <v>1</v>
      </c>
      <c r="C642">
        <f>--(SUMPRODUCT((Data!$C$2:$C$53="K12A")*((Data!$A$2:$A$53 - Settings!$B$4/24) &lt;= A642)*((Data!$B$2:$B$53 + Settings!$B$4/24) &gt; A642))&gt;0)</f>
        <v>1</v>
      </c>
      <c r="D642">
        <f>--(SUMPRODUCT((Data!$C$2:$C$53="K12")*((Data!$A$2:$A$53 - Settings!$B$4/24) &lt;= A642)*((Data!$B$2:$B$53 + Settings!$B$4/24) &gt; A642))&gt;0)</f>
        <v>1</v>
      </c>
      <c r="E642">
        <f>--(SUMPRODUCT((Data!$C$2:$C$53="K12B")*((Data!$A$2:$A$53 - Settings!$B$4/24) &lt;= A642)*((Data!$B$2:$B$53 + Settings!$B$4/24) &gt; A642))&gt;0)</f>
        <v>1</v>
      </c>
      <c r="F642">
        <f>--(SUMPRODUCT((Data!$C$2:$C$53="TT2")*((Data!$A$2:$A$53 - Settings!$B$4/24) &lt;= A642)*((Data!$B$2:$B$53 + Settings!$B$4/24) &gt; A642))&gt;0)</f>
        <v>1</v>
      </c>
    </row>
    <row r="643" spans="1:6" ht="15.6" x14ac:dyDescent="0.3">
      <c r="A643" s="1">
        <v>45958.708680555559</v>
      </c>
      <c r="B643">
        <f>--(SUMPRODUCT((Data!$C$2:$C$53="K12C")*((Data!$A$2:$A$53 - Settings!$B$4/24) &lt;= A643)*((Data!$B$2:$B$53 + Settings!$B$4/24) &gt; A643))&gt;0)</f>
        <v>1</v>
      </c>
      <c r="C643">
        <f>--(SUMPRODUCT((Data!$C$2:$C$53="K12A")*((Data!$A$2:$A$53 - Settings!$B$4/24) &lt;= A643)*((Data!$B$2:$B$53 + Settings!$B$4/24) &gt; A643))&gt;0)</f>
        <v>1</v>
      </c>
      <c r="D643">
        <f>--(SUMPRODUCT((Data!$C$2:$C$53="K12")*((Data!$A$2:$A$53 - Settings!$B$4/24) &lt;= A643)*((Data!$B$2:$B$53 + Settings!$B$4/24) &gt; A643))&gt;0)</f>
        <v>1</v>
      </c>
      <c r="E643">
        <f>--(SUMPRODUCT((Data!$C$2:$C$53="K12B")*((Data!$A$2:$A$53 - Settings!$B$4/24) &lt;= A643)*((Data!$B$2:$B$53 + Settings!$B$4/24) &gt; A643))&gt;0)</f>
        <v>1</v>
      </c>
      <c r="F643">
        <f>--(SUMPRODUCT((Data!$C$2:$C$53="TT2")*((Data!$A$2:$A$53 - Settings!$B$4/24) &lt;= A643)*((Data!$B$2:$B$53 + Settings!$B$4/24) &gt; A643))&gt;0)</f>
        <v>1</v>
      </c>
    </row>
    <row r="644" spans="1:6" ht="15.6" x14ac:dyDescent="0.3">
      <c r="A644" s="1">
        <v>45958.750347222223</v>
      </c>
      <c r="B644">
        <f>--(SUMPRODUCT((Data!$C$2:$C$53="K12C")*((Data!$A$2:$A$53 - Settings!$B$4/24) &lt;= A644)*((Data!$B$2:$B$53 + Settings!$B$4/24) &gt; A644))&gt;0)</f>
        <v>1</v>
      </c>
      <c r="C644">
        <f>--(SUMPRODUCT((Data!$C$2:$C$53="K12A")*((Data!$A$2:$A$53 - Settings!$B$4/24) &lt;= A644)*((Data!$B$2:$B$53 + Settings!$B$4/24) &gt; A644))&gt;0)</f>
        <v>1</v>
      </c>
      <c r="D644">
        <f>--(SUMPRODUCT((Data!$C$2:$C$53="K12")*((Data!$A$2:$A$53 - Settings!$B$4/24) &lt;= A644)*((Data!$B$2:$B$53 + Settings!$B$4/24) &gt; A644))&gt;0)</f>
        <v>1</v>
      </c>
      <c r="E644">
        <f>--(SUMPRODUCT((Data!$C$2:$C$53="K12B")*((Data!$A$2:$A$53 - Settings!$B$4/24) &lt;= A644)*((Data!$B$2:$B$53 + Settings!$B$4/24) &gt; A644))&gt;0)</f>
        <v>1</v>
      </c>
      <c r="F644">
        <f>--(SUMPRODUCT((Data!$C$2:$C$53="TT2")*((Data!$A$2:$A$53 - Settings!$B$4/24) &lt;= A644)*((Data!$B$2:$B$53 + Settings!$B$4/24) &gt; A644))&gt;0)</f>
        <v>1</v>
      </c>
    </row>
    <row r="645" spans="1:6" ht="15.6" x14ac:dyDescent="0.3">
      <c r="A645" s="1">
        <v>45958.792013888888</v>
      </c>
      <c r="B645">
        <f>--(SUMPRODUCT((Data!$C$2:$C$53="K12C")*((Data!$A$2:$A$53 - Settings!$B$4/24) &lt;= A645)*((Data!$B$2:$B$53 + Settings!$B$4/24) &gt; A645))&gt;0)</f>
        <v>1</v>
      </c>
      <c r="C645">
        <f>--(SUMPRODUCT((Data!$C$2:$C$53="K12A")*((Data!$A$2:$A$53 - Settings!$B$4/24) &lt;= A645)*((Data!$B$2:$B$53 + Settings!$B$4/24) &gt; A645))&gt;0)</f>
        <v>1</v>
      </c>
      <c r="D645">
        <f>--(SUMPRODUCT((Data!$C$2:$C$53="K12")*((Data!$A$2:$A$53 - Settings!$B$4/24) &lt;= A645)*((Data!$B$2:$B$53 + Settings!$B$4/24) &gt; A645))&gt;0)</f>
        <v>1</v>
      </c>
      <c r="E645">
        <f>--(SUMPRODUCT((Data!$C$2:$C$53="K12B")*((Data!$A$2:$A$53 - Settings!$B$4/24) &lt;= A645)*((Data!$B$2:$B$53 + Settings!$B$4/24) &gt; A645))&gt;0)</f>
        <v>1</v>
      </c>
      <c r="F645">
        <f>--(SUMPRODUCT((Data!$C$2:$C$53="TT2")*((Data!$A$2:$A$53 - Settings!$B$4/24) &lt;= A645)*((Data!$B$2:$B$53 + Settings!$B$4/24) &gt; A645))&gt;0)</f>
        <v>1</v>
      </c>
    </row>
    <row r="646" spans="1:6" ht="15.6" x14ac:dyDescent="0.3">
      <c r="A646" s="1">
        <v>45958.833680555559</v>
      </c>
      <c r="B646">
        <f>--(SUMPRODUCT((Data!$C$2:$C$53="K12C")*((Data!$A$2:$A$53 - Settings!$B$4/24) &lt;= A646)*((Data!$B$2:$B$53 + Settings!$B$4/24) &gt; A646))&gt;0)</f>
        <v>1</v>
      </c>
      <c r="C646">
        <f>--(SUMPRODUCT((Data!$C$2:$C$53="K12A")*((Data!$A$2:$A$53 - Settings!$B$4/24) &lt;= A646)*((Data!$B$2:$B$53 + Settings!$B$4/24) &gt; A646))&gt;0)</f>
        <v>1</v>
      </c>
      <c r="D646">
        <f>--(SUMPRODUCT((Data!$C$2:$C$53="K12")*((Data!$A$2:$A$53 - Settings!$B$4/24) &lt;= A646)*((Data!$B$2:$B$53 + Settings!$B$4/24) &gt; A646))&gt;0)</f>
        <v>1</v>
      </c>
      <c r="E646">
        <f>--(SUMPRODUCT((Data!$C$2:$C$53="K12B")*((Data!$A$2:$A$53 - Settings!$B$4/24) &lt;= A646)*((Data!$B$2:$B$53 + Settings!$B$4/24) &gt; A646))&gt;0)</f>
        <v>1</v>
      </c>
      <c r="F646">
        <f>--(SUMPRODUCT((Data!$C$2:$C$53="TT2")*((Data!$A$2:$A$53 - Settings!$B$4/24) &lt;= A646)*((Data!$B$2:$B$53 + Settings!$B$4/24) &gt; A646))&gt;0)</f>
        <v>1</v>
      </c>
    </row>
    <row r="647" spans="1:6" ht="15.6" x14ac:dyDescent="0.3">
      <c r="A647" s="1">
        <v>45958.875347222223</v>
      </c>
      <c r="B647">
        <f>--(SUMPRODUCT((Data!$C$2:$C$53="K12C")*((Data!$A$2:$A$53 - Settings!$B$4/24) &lt;= A647)*((Data!$B$2:$B$53 + Settings!$B$4/24) &gt; A647))&gt;0)</f>
        <v>1</v>
      </c>
      <c r="C647">
        <f>--(SUMPRODUCT((Data!$C$2:$C$53="K12A")*((Data!$A$2:$A$53 - Settings!$B$4/24) &lt;= A647)*((Data!$B$2:$B$53 + Settings!$B$4/24) &gt; A647))&gt;0)</f>
        <v>1</v>
      </c>
      <c r="D647">
        <f>--(SUMPRODUCT((Data!$C$2:$C$53="K12")*((Data!$A$2:$A$53 - Settings!$B$4/24) &lt;= A647)*((Data!$B$2:$B$53 + Settings!$B$4/24) &gt; A647))&gt;0)</f>
        <v>1</v>
      </c>
      <c r="E647">
        <f>--(SUMPRODUCT((Data!$C$2:$C$53="K12B")*((Data!$A$2:$A$53 - Settings!$B$4/24) &lt;= A647)*((Data!$B$2:$B$53 + Settings!$B$4/24) &gt; A647))&gt;0)</f>
        <v>1</v>
      </c>
      <c r="F647">
        <f>--(SUMPRODUCT((Data!$C$2:$C$53="TT2")*((Data!$A$2:$A$53 - Settings!$B$4/24) &lt;= A647)*((Data!$B$2:$B$53 + Settings!$B$4/24) &gt; A647))&gt;0)</f>
        <v>1</v>
      </c>
    </row>
    <row r="648" spans="1:6" ht="15.6" x14ac:dyDescent="0.3">
      <c r="A648" s="1">
        <v>45958.917013888888</v>
      </c>
      <c r="B648">
        <f>--(SUMPRODUCT((Data!$C$2:$C$53="K12C")*((Data!$A$2:$A$53 - Settings!$B$4/24) &lt;= A648)*((Data!$B$2:$B$53 + Settings!$B$4/24) &gt; A648))&gt;0)</f>
        <v>1</v>
      </c>
      <c r="C648">
        <f>--(SUMPRODUCT((Data!$C$2:$C$53="K12A")*((Data!$A$2:$A$53 - Settings!$B$4/24) &lt;= A648)*((Data!$B$2:$B$53 + Settings!$B$4/24) &gt; A648))&gt;0)</f>
        <v>1</v>
      </c>
      <c r="D648">
        <f>--(SUMPRODUCT((Data!$C$2:$C$53="K12")*((Data!$A$2:$A$53 - Settings!$B$4/24) &lt;= A648)*((Data!$B$2:$B$53 + Settings!$B$4/24) &gt; A648))&gt;0)</f>
        <v>1</v>
      </c>
      <c r="E648">
        <f>--(SUMPRODUCT((Data!$C$2:$C$53="K12B")*((Data!$A$2:$A$53 - Settings!$B$4/24) &lt;= A648)*((Data!$B$2:$B$53 + Settings!$B$4/24) &gt; A648))&gt;0)</f>
        <v>1</v>
      </c>
      <c r="F648">
        <f>--(SUMPRODUCT((Data!$C$2:$C$53="TT2")*((Data!$A$2:$A$53 - Settings!$B$4/24) &lt;= A648)*((Data!$B$2:$B$53 + Settings!$B$4/24) &gt; A648))&gt;0)</f>
        <v>1</v>
      </c>
    </row>
    <row r="649" spans="1:6" ht="15.6" x14ac:dyDescent="0.3">
      <c r="A649" s="1">
        <v>45958.958680555559</v>
      </c>
      <c r="B649">
        <f>--(SUMPRODUCT((Data!$C$2:$C$53="K12C")*((Data!$A$2:$A$53 - Settings!$B$4/24) &lt;= A649)*((Data!$B$2:$B$53 + Settings!$B$4/24) &gt; A649))&gt;0)</f>
        <v>1</v>
      </c>
      <c r="C649">
        <f>--(SUMPRODUCT((Data!$C$2:$C$53="K12A")*((Data!$A$2:$A$53 - Settings!$B$4/24) &lt;= A649)*((Data!$B$2:$B$53 + Settings!$B$4/24) &gt; A649))&gt;0)</f>
        <v>1</v>
      </c>
      <c r="D649">
        <f>--(SUMPRODUCT((Data!$C$2:$C$53="K12")*((Data!$A$2:$A$53 - Settings!$B$4/24) &lt;= A649)*((Data!$B$2:$B$53 + Settings!$B$4/24) &gt; A649))&gt;0)</f>
        <v>1</v>
      </c>
      <c r="E649">
        <f>--(SUMPRODUCT((Data!$C$2:$C$53="K12B")*((Data!$A$2:$A$53 - Settings!$B$4/24) &lt;= A649)*((Data!$B$2:$B$53 + Settings!$B$4/24) &gt; A649))&gt;0)</f>
        <v>1</v>
      </c>
      <c r="F649">
        <f>--(SUMPRODUCT((Data!$C$2:$C$53="TT2")*((Data!$A$2:$A$53 - Settings!$B$4/24) &lt;= A649)*((Data!$B$2:$B$53 + Settings!$B$4/24) &gt; A649))&gt;0)</f>
        <v>1</v>
      </c>
    </row>
    <row r="650" spans="1:6" ht="15.6" x14ac:dyDescent="0.3">
      <c r="A650" s="1">
        <v>45959.000347222223</v>
      </c>
      <c r="B650">
        <f>--(SUMPRODUCT((Data!$C$2:$C$53="K12C")*((Data!$A$2:$A$53 - Settings!$B$4/24) &lt;= A650)*((Data!$B$2:$B$53 + Settings!$B$4/24) &gt; A650))&gt;0)</f>
        <v>1</v>
      </c>
      <c r="C650">
        <f>--(SUMPRODUCT((Data!$C$2:$C$53="K12A")*((Data!$A$2:$A$53 - Settings!$B$4/24) &lt;= A650)*((Data!$B$2:$B$53 + Settings!$B$4/24) &gt; A650))&gt;0)</f>
        <v>1</v>
      </c>
      <c r="D650">
        <f>--(SUMPRODUCT((Data!$C$2:$C$53="K12")*((Data!$A$2:$A$53 - Settings!$B$4/24) &lt;= A650)*((Data!$B$2:$B$53 + Settings!$B$4/24) &gt; A650))&gt;0)</f>
        <v>1</v>
      </c>
      <c r="E650">
        <f>--(SUMPRODUCT((Data!$C$2:$C$53="K12B")*((Data!$A$2:$A$53 - Settings!$B$4/24) &lt;= A650)*((Data!$B$2:$B$53 + Settings!$B$4/24) &gt; A650))&gt;0)</f>
        <v>1</v>
      </c>
      <c r="F650">
        <f>--(SUMPRODUCT((Data!$C$2:$C$53="TT2")*((Data!$A$2:$A$53 - Settings!$B$4/24) &lt;= A650)*((Data!$B$2:$B$53 + Settings!$B$4/24) &gt; A650))&gt;0)</f>
        <v>1</v>
      </c>
    </row>
    <row r="651" spans="1:6" ht="15.6" x14ac:dyDescent="0.3">
      <c r="A651" s="1">
        <v>45959.042013888888</v>
      </c>
      <c r="B651">
        <f>--(SUMPRODUCT((Data!$C$2:$C$53="K12C")*((Data!$A$2:$A$53 - Settings!$B$4/24) &lt;= A651)*((Data!$B$2:$B$53 + Settings!$B$4/24) &gt; A651))&gt;0)</f>
        <v>1</v>
      </c>
      <c r="C651">
        <f>--(SUMPRODUCT((Data!$C$2:$C$53="K12A")*((Data!$A$2:$A$53 - Settings!$B$4/24) &lt;= A651)*((Data!$B$2:$B$53 + Settings!$B$4/24) &gt; A651))&gt;0)</f>
        <v>1</v>
      </c>
      <c r="D651">
        <f>--(SUMPRODUCT((Data!$C$2:$C$53="K12")*((Data!$A$2:$A$53 - Settings!$B$4/24) &lt;= A651)*((Data!$B$2:$B$53 + Settings!$B$4/24) &gt; A651))&gt;0)</f>
        <v>1</v>
      </c>
      <c r="E651">
        <f>--(SUMPRODUCT((Data!$C$2:$C$53="K12B")*((Data!$A$2:$A$53 - Settings!$B$4/24) &lt;= A651)*((Data!$B$2:$B$53 + Settings!$B$4/24) &gt; A651))&gt;0)</f>
        <v>1</v>
      </c>
      <c r="F651">
        <f>--(SUMPRODUCT((Data!$C$2:$C$53="TT2")*((Data!$A$2:$A$53 - Settings!$B$4/24) &lt;= A651)*((Data!$B$2:$B$53 + Settings!$B$4/24) &gt; A651))&gt;0)</f>
        <v>1</v>
      </c>
    </row>
    <row r="652" spans="1:6" ht="15.6" x14ac:dyDescent="0.3">
      <c r="A652" s="1">
        <v>45959.083680555559</v>
      </c>
      <c r="B652">
        <f>--(SUMPRODUCT((Data!$C$2:$C$53="K12C")*((Data!$A$2:$A$53 - Settings!$B$4/24) &lt;= A652)*((Data!$B$2:$B$53 + Settings!$B$4/24) &gt; A652))&gt;0)</f>
        <v>1</v>
      </c>
      <c r="C652">
        <f>--(SUMPRODUCT((Data!$C$2:$C$53="K12A")*((Data!$A$2:$A$53 - Settings!$B$4/24) &lt;= A652)*((Data!$B$2:$B$53 + Settings!$B$4/24) &gt; A652))&gt;0)</f>
        <v>1</v>
      </c>
      <c r="D652">
        <f>--(SUMPRODUCT((Data!$C$2:$C$53="K12")*((Data!$A$2:$A$53 - Settings!$B$4/24) &lt;= A652)*((Data!$B$2:$B$53 + Settings!$B$4/24) &gt; A652))&gt;0)</f>
        <v>1</v>
      </c>
      <c r="E652">
        <f>--(SUMPRODUCT((Data!$C$2:$C$53="K12B")*((Data!$A$2:$A$53 - Settings!$B$4/24) &lt;= A652)*((Data!$B$2:$B$53 + Settings!$B$4/24) &gt; A652))&gt;0)</f>
        <v>1</v>
      </c>
      <c r="F652">
        <f>--(SUMPRODUCT((Data!$C$2:$C$53="TT2")*((Data!$A$2:$A$53 - Settings!$B$4/24) &lt;= A652)*((Data!$B$2:$B$53 + Settings!$B$4/24) &gt; A652))&gt;0)</f>
        <v>1</v>
      </c>
    </row>
    <row r="653" spans="1:6" ht="15.6" x14ac:dyDescent="0.3">
      <c r="A653" s="1">
        <v>45959.125347222223</v>
      </c>
      <c r="B653">
        <f>--(SUMPRODUCT((Data!$C$2:$C$53="K12C")*((Data!$A$2:$A$53 - Settings!$B$4/24) &lt;= A653)*((Data!$B$2:$B$53 + Settings!$B$4/24) &gt; A653))&gt;0)</f>
        <v>1</v>
      </c>
      <c r="C653">
        <f>--(SUMPRODUCT((Data!$C$2:$C$53="K12A")*((Data!$A$2:$A$53 - Settings!$B$4/24) &lt;= A653)*((Data!$B$2:$B$53 + Settings!$B$4/24) &gt; A653))&gt;0)</f>
        <v>1</v>
      </c>
      <c r="D653">
        <f>--(SUMPRODUCT((Data!$C$2:$C$53="K12")*((Data!$A$2:$A$53 - Settings!$B$4/24) &lt;= A653)*((Data!$B$2:$B$53 + Settings!$B$4/24) &gt; A653))&gt;0)</f>
        <v>1</v>
      </c>
      <c r="E653">
        <f>--(SUMPRODUCT((Data!$C$2:$C$53="K12B")*((Data!$A$2:$A$53 - Settings!$B$4/24) &lt;= A653)*((Data!$B$2:$B$53 + Settings!$B$4/24) &gt; A653))&gt;0)</f>
        <v>1</v>
      </c>
      <c r="F653">
        <f>--(SUMPRODUCT((Data!$C$2:$C$53="TT2")*((Data!$A$2:$A$53 - Settings!$B$4/24) &lt;= A653)*((Data!$B$2:$B$53 + Settings!$B$4/24) &gt; A653))&gt;0)</f>
        <v>1</v>
      </c>
    </row>
    <row r="654" spans="1:6" ht="15.6" x14ac:dyDescent="0.3">
      <c r="A654" s="1">
        <v>45959.167013888888</v>
      </c>
      <c r="B654">
        <f>--(SUMPRODUCT((Data!$C$2:$C$53="K12C")*((Data!$A$2:$A$53 - Settings!$B$4/24) &lt;= A654)*((Data!$B$2:$B$53 + Settings!$B$4/24) &gt; A654))&gt;0)</f>
        <v>1</v>
      </c>
      <c r="C654">
        <f>--(SUMPRODUCT((Data!$C$2:$C$53="K12A")*((Data!$A$2:$A$53 - Settings!$B$4/24) &lt;= A654)*((Data!$B$2:$B$53 + Settings!$B$4/24) &gt; A654))&gt;0)</f>
        <v>1</v>
      </c>
      <c r="D654">
        <f>--(SUMPRODUCT((Data!$C$2:$C$53="K12")*((Data!$A$2:$A$53 - Settings!$B$4/24) &lt;= A654)*((Data!$B$2:$B$53 + Settings!$B$4/24) &gt; A654))&gt;0)</f>
        <v>1</v>
      </c>
      <c r="E654">
        <f>--(SUMPRODUCT((Data!$C$2:$C$53="K12B")*((Data!$A$2:$A$53 - Settings!$B$4/24) &lt;= A654)*((Data!$B$2:$B$53 + Settings!$B$4/24) &gt; A654))&gt;0)</f>
        <v>1</v>
      </c>
      <c r="F654">
        <f>--(SUMPRODUCT((Data!$C$2:$C$53="TT2")*((Data!$A$2:$A$53 - Settings!$B$4/24) &lt;= A654)*((Data!$B$2:$B$53 + Settings!$B$4/24) &gt; A654))&gt;0)</f>
        <v>1</v>
      </c>
    </row>
    <row r="655" spans="1:6" ht="15.6" x14ac:dyDescent="0.3">
      <c r="A655" s="1">
        <v>45959.208680555559</v>
      </c>
      <c r="B655">
        <f>--(SUMPRODUCT((Data!$C$2:$C$53="K12C")*((Data!$A$2:$A$53 - Settings!$B$4/24) &lt;= A655)*((Data!$B$2:$B$53 + Settings!$B$4/24) &gt; A655))&gt;0)</f>
        <v>1</v>
      </c>
      <c r="C655">
        <f>--(SUMPRODUCT((Data!$C$2:$C$53="K12A")*((Data!$A$2:$A$53 - Settings!$B$4/24) &lt;= A655)*((Data!$B$2:$B$53 + Settings!$B$4/24) &gt; A655))&gt;0)</f>
        <v>1</v>
      </c>
      <c r="D655">
        <f>--(SUMPRODUCT((Data!$C$2:$C$53="K12")*((Data!$A$2:$A$53 - Settings!$B$4/24) &lt;= A655)*((Data!$B$2:$B$53 + Settings!$B$4/24) &gt; A655))&gt;0)</f>
        <v>1</v>
      </c>
      <c r="E655">
        <f>--(SUMPRODUCT((Data!$C$2:$C$53="K12B")*((Data!$A$2:$A$53 - Settings!$B$4/24) &lt;= A655)*((Data!$B$2:$B$53 + Settings!$B$4/24) &gt; A655))&gt;0)</f>
        <v>1</v>
      </c>
      <c r="F655">
        <f>--(SUMPRODUCT((Data!$C$2:$C$53="TT2")*((Data!$A$2:$A$53 - Settings!$B$4/24) &lt;= A655)*((Data!$B$2:$B$53 + Settings!$B$4/24) &gt; A655))&gt;0)</f>
        <v>1</v>
      </c>
    </row>
    <row r="656" spans="1:6" ht="15.6" x14ac:dyDescent="0.3">
      <c r="A656" s="1">
        <v>45959.250347222223</v>
      </c>
      <c r="B656">
        <f>--(SUMPRODUCT((Data!$C$2:$C$53="K12C")*((Data!$A$2:$A$53 - Settings!$B$4/24) &lt;= A656)*((Data!$B$2:$B$53 + Settings!$B$4/24) &gt; A656))&gt;0)</f>
        <v>1</v>
      </c>
      <c r="C656">
        <f>--(SUMPRODUCT((Data!$C$2:$C$53="K12A")*((Data!$A$2:$A$53 - Settings!$B$4/24) &lt;= A656)*((Data!$B$2:$B$53 + Settings!$B$4/24) &gt; A656))&gt;0)</f>
        <v>1</v>
      </c>
      <c r="D656">
        <f>--(SUMPRODUCT((Data!$C$2:$C$53="K12")*((Data!$A$2:$A$53 - Settings!$B$4/24) &lt;= A656)*((Data!$B$2:$B$53 + Settings!$B$4/24) &gt; A656))&gt;0)</f>
        <v>1</v>
      </c>
      <c r="E656">
        <f>--(SUMPRODUCT((Data!$C$2:$C$53="K12B")*((Data!$A$2:$A$53 - Settings!$B$4/24) &lt;= A656)*((Data!$B$2:$B$53 + Settings!$B$4/24) &gt; A656))&gt;0)</f>
        <v>1</v>
      </c>
      <c r="F656">
        <f>--(SUMPRODUCT((Data!$C$2:$C$53="TT2")*((Data!$A$2:$A$53 - Settings!$B$4/24) &lt;= A656)*((Data!$B$2:$B$53 + Settings!$B$4/24) &gt; A656))&gt;0)</f>
        <v>1</v>
      </c>
    </row>
    <row r="657" spans="1:6" ht="15.6" x14ac:dyDescent="0.3">
      <c r="A657" s="1">
        <v>45959.292013888888</v>
      </c>
      <c r="B657">
        <f>--(SUMPRODUCT((Data!$C$2:$C$53="K12C")*((Data!$A$2:$A$53 - Settings!$B$4/24) &lt;= A657)*((Data!$B$2:$B$53 + Settings!$B$4/24) &gt; A657))&gt;0)</f>
        <v>1</v>
      </c>
      <c r="C657">
        <f>--(SUMPRODUCT((Data!$C$2:$C$53="K12A")*((Data!$A$2:$A$53 - Settings!$B$4/24) &lt;= A657)*((Data!$B$2:$B$53 + Settings!$B$4/24) &gt; A657))&gt;0)</f>
        <v>1</v>
      </c>
      <c r="D657">
        <f>--(SUMPRODUCT((Data!$C$2:$C$53="K12")*((Data!$A$2:$A$53 - Settings!$B$4/24) &lt;= A657)*((Data!$B$2:$B$53 + Settings!$B$4/24) &gt; A657))&gt;0)</f>
        <v>1</v>
      </c>
      <c r="E657">
        <f>--(SUMPRODUCT((Data!$C$2:$C$53="K12B")*((Data!$A$2:$A$53 - Settings!$B$4/24) &lt;= A657)*((Data!$B$2:$B$53 + Settings!$B$4/24) &gt; A657))&gt;0)</f>
        <v>1</v>
      </c>
      <c r="F657">
        <f>--(SUMPRODUCT((Data!$C$2:$C$53="TT2")*((Data!$A$2:$A$53 - Settings!$B$4/24) &lt;= A657)*((Data!$B$2:$B$53 + Settings!$B$4/24) &gt; A657))&gt;0)</f>
        <v>1</v>
      </c>
    </row>
    <row r="658" spans="1:6" ht="15.6" x14ac:dyDescent="0.3">
      <c r="A658" s="1">
        <v>45959.333680555559</v>
      </c>
      <c r="B658">
        <f>--(SUMPRODUCT((Data!$C$2:$C$53="K12C")*((Data!$A$2:$A$53 - Settings!$B$4/24) &lt;= A658)*((Data!$B$2:$B$53 + Settings!$B$4/24) &gt; A658))&gt;0)</f>
        <v>1</v>
      </c>
      <c r="C658">
        <f>--(SUMPRODUCT((Data!$C$2:$C$53="K12A")*((Data!$A$2:$A$53 - Settings!$B$4/24) &lt;= A658)*((Data!$B$2:$B$53 + Settings!$B$4/24) &gt; A658))&gt;0)</f>
        <v>1</v>
      </c>
      <c r="D658">
        <f>--(SUMPRODUCT((Data!$C$2:$C$53="K12")*((Data!$A$2:$A$53 - Settings!$B$4/24) &lt;= A658)*((Data!$B$2:$B$53 + Settings!$B$4/24) &gt; A658))&gt;0)</f>
        <v>1</v>
      </c>
      <c r="E658">
        <f>--(SUMPRODUCT((Data!$C$2:$C$53="K12B")*((Data!$A$2:$A$53 - Settings!$B$4/24) &lt;= A658)*((Data!$B$2:$B$53 + Settings!$B$4/24) &gt; A658))&gt;0)</f>
        <v>1</v>
      </c>
      <c r="F658">
        <f>--(SUMPRODUCT((Data!$C$2:$C$53="TT2")*((Data!$A$2:$A$53 - Settings!$B$4/24) &lt;= A658)*((Data!$B$2:$B$53 + Settings!$B$4/24) &gt; A658))&gt;0)</f>
        <v>1</v>
      </c>
    </row>
    <row r="659" spans="1:6" ht="15.6" x14ac:dyDescent="0.3">
      <c r="A659" s="1">
        <v>45959.375347222223</v>
      </c>
      <c r="B659">
        <f>--(SUMPRODUCT((Data!$C$2:$C$53="K12C")*((Data!$A$2:$A$53 - Settings!$B$4/24) &lt;= A659)*((Data!$B$2:$B$53 + Settings!$B$4/24) &gt; A659))&gt;0)</f>
        <v>1</v>
      </c>
      <c r="C659">
        <f>--(SUMPRODUCT((Data!$C$2:$C$53="K12A")*((Data!$A$2:$A$53 - Settings!$B$4/24) &lt;= A659)*((Data!$B$2:$B$53 + Settings!$B$4/24) &gt; A659))&gt;0)</f>
        <v>1</v>
      </c>
      <c r="D659">
        <f>--(SUMPRODUCT((Data!$C$2:$C$53="K12")*((Data!$A$2:$A$53 - Settings!$B$4/24) &lt;= A659)*((Data!$B$2:$B$53 + Settings!$B$4/24) &gt; A659))&gt;0)</f>
        <v>1</v>
      </c>
      <c r="E659">
        <f>--(SUMPRODUCT((Data!$C$2:$C$53="K12B")*((Data!$A$2:$A$53 - Settings!$B$4/24) &lt;= A659)*((Data!$B$2:$B$53 + Settings!$B$4/24) &gt; A659))&gt;0)</f>
        <v>1</v>
      </c>
      <c r="F659">
        <f>--(SUMPRODUCT((Data!$C$2:$C$53="TT2")*((Data!$A$2:$A$53 - Settings!$B$4/24) &lt;= A659)*((Data!$B$2:$B$53 + Settings!$B$4/24) &gt; A659))&gt;0)</f>
        <v>1</v>
      </c>
    </row>
    <row r="660" spans="1:6" ht="15.6" x14ac:dyDescent="0.3">
      <c r="A660" s="1">
        <v>45959.417013888888</v>
      </c>
      <c r="B660">
        <f>--(SUMPRODUCT((Data!$C$2:$C$53="K12C")*((Data!$A$2:$A$53 - Settings!$B$4/24) &lt;= A660)*((Data!$B$2:$B$53 + Settings!$B$4/24) &gt; A660))&gt;0)</f>
        <v>1</v>
      </c>
      <c r="C660">
        <f>--(SUMPRODUCT((Data!$C$2:$C$53="K12A")*((Data!$A$2:$A$53 - Settings!$B$4/24) &lt;= A660)*((Data!$B$2:$B$53 + Settings!$B$4/24) &gt; A660))&gt;0)</f>
        <v>1</v>
      </c>
      <c r="D660">
        <f>--(SUMPRODUCT((Data!$C$2:$C$53="K12")*((Data!$A$2:$A$53 - Settings!$B$4/24) &lt;= A660)*((Data!$B$2:$B$53 + Settings!$B$4/24) &gt; A660))&gt;0)</f>
        <v>1</v>
      </c>
      <c r="E660">
        <f>--(SUMPRODUCT((Data!$C$2:$C$53="K12B")*((Data!$A$2:$A$53 - Settings!$B$4/24) &lt;= A660)*((Data!$B$2:$B$53 + Settings!$B$4/24) &gt; A660))&gt;0)</f>
        <v>1</v>
      </c>
      <c r="F660">
        <f>--(SUMPRODUCT((Data!$C$2:$C$53="TT2")*((Data!$A$2:$A$53 - Settings!$B$4/24) &lt;= A660)*((Data!$B$2:$B$53 + Settings!$B$4/24) &gt; A660))&gt;0)</f>
        <v>1</v>
      </c>
    </row>
    <row r="661" spans="1:6" ht="15.6" x14ac:dyDescent="0.3">
      <c r="A661" s="1">
        <v>45959.458680555559</v>
      </c>
      <c r="B661">
        <f>--(SUMPRODUCT((Data!$C$2:$C$53="K12C")*((Data!$A$2:$A$53 - Settings!$B$4/24) &lt;= A661)*((Data!$B$2:$B$53 + Settings!$B$4/24) &gt; A661))&gt;0)</f>
        <v>1</v>
      </c>
      <c r="C661">
        <f>--(SUMPRODUCT((Data!$C$2:$C$53="K12A")*((Data!$A$2:$A$53 - Settings!$B$4/24) &lt;= A661)*((Data!$B$2:$B$53 + Settings!$B$4/24) &gt; A661))&gt;0)</f>
        <v>1</v>
      </c>
      <c r="D661">
        <f>--(SUMPRODUCT((Data!$C$2:$C$53="K12")*((Data!$A$2:$A$53 - Settings!$B$4/24) &lt;= A661)*((Data!$B$2:$B$53 + Settings!$B$4/24) &gt; A661))&gt;0)</f>
        <v>1</v>
      </c>
      <c r="E661">
        <f>--(SUMPRODUCT((Data!$C$2:$C$53="K12B")*((Data!$A$2:$A$53 - Settings!$B$4/24) &lt;= A661)*((Data!$B$2:$B$53 + Settings!$B$4/24) &gt; A661))&gt;0)</f>
        <v>1</v>
      </c>
      <c r="F661">
        <f>--(SUMPRODUCT((Data!$C$2:$C$53="TT2")*((Data!$A$2:$A$53 - Settings!$B$4/24) &lt;= A661)*((Data!$B$2:$B$53 + Settings!$B$4/24) &gt; A661))&gt;0)</f>
        <v>1</v>
      </c>
    </row>
    <row r="662" spans="1:6" ht="15.6" x14ac:dyDescent="0.3">
      <c r="A662" s="1">
        <v>45959.500347222223</v>
      </c>
      <c r="B662">
        <f>--(SUMPRODUCT((Data!$C$2:$C$53="K12C")*((Data!$A$2:$A$53 - Settings!$B$4/24) &lt;= A662)*((Data!$B$2:$B$53 + Settings!$B$4/24) &gt; A662))&gt;0)</f>
        <v>1</v>
      </c>
      <c r="C662">
        <f>--(SUMPRODUCT((Data!$C$2:$C$53="K12A")*((Data!$A$2:$A$53 - Settings!$B$4/24) &lt;= A662)*((Data!$B$2:$B$53 + Settings!$B$4/24) &gt; A662))&gt;0)</f>
        <v>1</v>
      </c>
      <c r="D662">
        <f>--(SUMPRODUCT((Data!$C$2:$C$53="K12")*((Data!$A$2:$A$53 - Settings!$B$4/24) &lt;= A662)*((Data!$B$2:$B$53 + Settings!$B$4/24) &gt; A662))&gt;0)</f>
        <v>1</v>
      </c>
      <c r="E662">
        <f>--(SUMPRODUCT((Data!$C$2:$C$53="K12B")*((Data!$A$2:$A$53 - Settings!$B$4/24) &lt;= A662)*((Data!$B$2:$B$53 + Settings!$B$4/24) &gt; A662))&gt;0)</f>
        <v>1</v>
      </c>
      <c r="F662">
        <f>--(SUMPRODUCT((Data!$C$2:$C$53="TT2")*((Data!$A$2:$A$53 - Settings!$B$4/24) &lt;= A662)*((Data!$B$2:$B$53 + Settings!$B$4/24) &gt; A662))&gt;0)</f>
        <v>1</v>
      </c>
    </row>
    <row r="663" spans="1:6" ht="15.6" x14ac:dyDescent="0.3">
      <c r="A663" s="1">
        <v>45959.542013888888</v>
      </c>
      <c r="B663">
        <f>--(SUMPRODUCT((Data!$C$2:$C$53="K12C")*((Data!$A$2:$A$53 - Settings!$B$4/24) &lt;= A663)*((Data!$B$2:$B$53 + Settings!$B$4/24) &gt; A663))&gt;0)</f>
        <v>1</v>
      </c>
      <c r="C663">
        <f>--(SUMPRODUCT((Data!$C$2:$C$53="K12A")*((Data!$A$2:$A$53 - Settings!$B$4/24) &lt;= A663)*((Data!$B$2:$B$53 + Settings!$B$4/24) &gt; A663))&gt;0)</f>
        <v>1</v>
      </c>
      <c r="D663">
        <f>--(SUMPRODUCT((Data!$C$2:$C$53="K12")*((Data!$A$2:$A$53 - Settings!$B$4/24) &lt;= A663)*((Data!$B$2:$B$53 + Settings!$B$4/24) &gt; A663))&gt;0)</f>
        <v>1</v>
      </c>
      <c r="E663">
        <f>--(SUMPRODUCT((Data!$C$2:$C$53="K12B")*((Data!$A$2:$A$53 - Settings!$B$4/24) &lt;= A663)*((Data!$B$2:$B$53 + Settings!$B$4/24) &gt; A663))&gt;0)</f>
        <v>1</v>
      </c>
      <c r="F663">
        <f>--(SUMPRODUCT((Data!$C$2:$C$53="TT2")*((Data!$A$2:$A$53 - Settings!$B$4/24) &lt;= A663)*((Data!$B$2:$B$53 + Settings!$B$4/24) &gt; A663))&gt;0)</f>
        <v>1</v>
      </c>
    </row>
    <row r="664" spans="1:6" ht="15.6" x14ac:dyDescent="0.3">
      <c r="A664" s="1">
        <v>45959.583680555559</v>
      </c>
      <c r="B664">
        <f>--(SUMPRODUCT((Data!$C$2:$C$53="K12C")*((Data!$A$2:$A$53 - Settings!$B$4/24) &lt;= A664)*((Data!$B$2:$B$53 + Settings!$B$4/24) &gt; A664))&gt;0)</f>
        <v>1</v>
      </c>
      <c r="C664">
        <f>--(SUMPRODUCT((Data!$C$2:$C$53="K12A")*((Data!$A$2:$A$53 - Settings!$B$4/24) &lt;= A664)*((Data!$B$2:$B$53 + Settings!$B$4/24) &gt; A664))&gt;0)</f>
        <v>1</v>
      </c>
      <c r="D664">
        <f>--(SUMPRODUCT((Data!$C$2:$C$53="K12")*((Data!$A$2:$A$53 - Settings!$B$4/24) &lt;= A664)*((Data!$B$2:$B$53 + Settings!$B$4/24) &gt; A664))&gt;0)</f>
        <v>1</v>
      </c>
      <c r="E664">
        <f>--(SUMPRODUCT((Data!$C$2:$C$53="K12B")*((Data!$A$2:$A$53 - Settings!$B$4/24) &lt;= A664)*((Data!$B$2:$B$53 + Settings!$B$4/24) &gt; A664))&gt;0)</f>
        <v>1</v>
      </c>
      <c r="F664">
        <f>--(SUMPRODUCT((Data!$C$2:$C$53="TT2")*((Data!$A$2:$A$53 - Settings!$B$4/24) &lt;= A664)*((Data!$B$2:$B$53 + Settings!$B$4/24) &gt; A664))&gt;0)</f>
        <v>1</v>
      </c>
    </row>
    <row r="665" spans="1:6" ht="15.6" x14ac:dyDescent="0.3">
      <c r="A665" s="1">
        <v>45959.625347222223</v>
      </c>
      <c r="B665">
        <f>--(SUMPRODUCT((Data!$C$2:$C$53="K12C")*((Data!$A$2:$A$53 - Settings!$B$4/24) &lt;= A665)*((Data!$B$2:$B$53 + Settings!$B$4/24) &gt; A665))&gt;0)</f>
        <v>1</v>
      </c>
      <c r="C665">
        <f>--(SUMPRODUCT((Data!$C$2:$C$53="K12A")*((Data!$A$2:$A$53 - Settings!$B$4/24) &lt;= A665)*((Data!$B$2:$B$53 + Settings!$B$4/24) &gt; A665))&gt;0)</f>
        <v>1</v>
      </c>
      <c r="D665">
        <f>--(SUMPRODUCT((Data!$C$2:$C$53="K12")*((Data!$A$2:$A$53 - Settings!$B$4/24) &lt;= A665)*((Data!$B$2:$B$53 + Settings!$B$4/24) &gt; A665))&gt;0)</f>
        <v>1</v>
      </c>
      <c r="E665">
        <f>--(SUMPRODUCT((Data!$C$2:$C$53="K12B")*((Data!$A$2:$A$53 - Settings!$B$4/24) &lt;= A665)*((Data!$B$2:$B$53 + Settings!$B$4/24) &gt; A665))&gt;0)</f>
        <v>1</v>
      </c>
      <c r="F665">
        <f>--(SUMPRODUCT((Data!$C$2:$C$53="TT2")*((Data!$A$2:$A$53 - Settings!$B$4/24) &lt;= A665)*((Data!$B$2:$B$53 + Settings!$B$4/24) &gt; A665))&gt;0)</f>
        <v>1</v>
      </c>
    </row>
    <row r="666" spans="1:6" ht="15.6" x14ac:dyDescent="0.3">
      <c r="A666" s="1">
        <v>45959.667013888888</v>
      </c>
      <c r="B666">
        <f>--(SUMPRODUCT((Data!$C$2:$C$53="K12C")*((Data!$A$2:$A$53 - Settings!$B$4/24) &lt;= A666)*((Data!$B$2:$B$53 + Settings!$B$4/24) &gt; A666))&gt;0)</f>
        <v>1</v>
      </c>
      <c r="C666">
        <f>--(SUMPRODUCT((Data!$C$2:$C$53="K12A")*((Data!$A$2:$A$53 - Settings!$B$4/24) &lt;= A666)*((Data!$B$2:$B$53 + Settings!$B$4/24) &gt; A666))&gt;0)</f>
        <v>1</v>
      </c>
      <c r="D666">
        <f>--(SUMPRODUCT((Data!$C$2:$C$53="K12")*((Data!$A$2:$A$53 - Settings!$B$4/24) &lt;= A666)*((Data!$B$2:$B$53 + Settings!$B$4/24) &gt; A666))&gt;0)</f>
        <v>1</v>
      </c>
      <c r="E666">
        <f>--(SUMPRODUCT((Data!$C$2:$C$53="K12B")*((Data!$A$2:$A$53 - Settings!$B$4/24) &lt;= A666)*((Data!$B$2:$B$53 + Settings!$B$4/24) &gt; A666))&gt;0)</f>
        <v>1</v>
      </c>
      <c r="F666">
        <f>--(SUMPRODUCT((Data!$C$2:$C$53="TT2")*((Data!$A$2:$A$53 - Settings!$B$4/24) &lt;= A666)*((Data!$B$2:$B$53 + Settings!$B$4/24) &gt; A666))&gt;0)</f>
        <v>1</v>
      </c>
    </row>
    <row r="667" spans="1:6" ht="15.6" x14ac:dyDescent="0.3">
      <c r="A667" s="1">
        <v>45959.708680555559</v>
      </c>
      <c r="B667">
        <f>--(SUMPRODUCT((Data!$C$2:$C$53="K12C")*((Data!$A$2:$A$53 - Settings!$B$4/24) &lt;= A667)*((Data!$B$2:$B$53 + Settings!$B$4/24) &gt; A667))&gt;0)</f>
        <v>1</v>
      </c>
      <c r="C667">
        <f>--(SUMPRODUCT((Data!$C$2:$C$53="K12A")*((Data!$A$2:$A$53 - Settings!$B$4/24) &lt;= A667)*((Data!$B$2:$B$53 + Settings!$B$4/24) &gt; A667))&gt;0)</f>
        <v>1</v>
      </c>
      <c r="D667">
        <f>--(SUMPRODUCT((Data!$C$2:$C$53="K12")*((Data!$A$2:$A$53 - Settings!$B$4/24) &lt;= A667)*((Data!$B$2:$B$53 + Settings!$B$4/24) &gt; A667))&gt;0)</f>
        <v>1</v>
      </c>
      <c r="E667">
        <f>--(SUMPRODUCT((Data!$C$2:$C$53="K12B")*((Data!$A$2:$A$53 - Settings!$B$4/24) &lt;= A667)*((Data!$B$2:$B$53 + Settings!$B$4/24) &gt; A667))&gt;0)</f>
        <v>1</v>
      </c>
      <c r="F667">
        <f>--(SUMPRODUCT((Data!$C$2:$C$53="TT2")*((Data!$A$2:$A$53 - Settings!$B$4/24) &lt;= A667)*((Data!$B$2:$B$53 + Settings!$B$4/24) &gt; A667))&gt;0)</f>
        <v>1</v>
      </c>
    </row>
    <row r="668" spans="1:6" ht="15.6" x14ac:dyDescent="0.3">
      <c r="A668" s="1">
        <v>45959.750347222223</v>
      </c>
      <c r="B668">
        <f>--(SUMPRODUCT((Data!$C$2:$C$53="K12C")*((Data!$A$2:$A$53 - Settings!$B$4/24) &lt;= A668)*((Data!$B$2:$B$53 + Settings!$B$4/24) &gt; A668))&gt;0)</f>
        <v>1</v>
      </c>
      <c r="C668">
        <f>--(SUMPRODUCT((Data!$C$2:$C$53="K12A")*((Data!$A$2:$A$53 - Settings!$B$4/24) &lt;= A668)*((Data!$B$2:$B$53 + Settings!$B$4/24) &gt; A668))&gt;0)</f>
        <v>1</v>
      </c>
      <c r="D668">
        <f>--(SUMPRODUCT((Data!$C$2:$C$53="K12")*((Data!$A$2:$A$53 - Settings!$B$4/24) &lt;= A668)*((Data!$B$2:$B$53 + Settings!$B$4/24) &gt; A668))&gt;0)</f>
        <v>1</v>
      </c>
      <c r="E668">
        <f>--(SUMPRODUCT((Data!$C$2:$C$53="K12B")*((Data!$A$2:$A$53 - Settings!$B$4/24) &lt;= A668)*((Data!$B$2:$B$53 + Settings!$B$4/24) &gt; A668))&gt;0)</f>
        <v>0</v>
      </c>
      <c r="F668">
        <f>--(SUMPRODUCT((Data!$C$2:$C$53="TT2")*((Data!$A$2:$A$53 - Settings!$B$4/24) &lt;= A668)*((Data!$B$2:$B$53 + Settings!$B$4/24) &gt; A668))&gt;0)</f>
        <v>1</v>
      </c>
    </row>
    <row r="669" spans="1:6" ht="15.6" x14ac:dyDescent="0.3">
      <c r="A669" s="1">
        <v>45959.792013888888</v>
      </c>
      <c r="B669">
        <f>--(SUMPRODUCT((Data!$C$2:$C$53="K12C")*((Data!$A$2:$A$53 - Settings!$B$4/24) &lt;= A669)*((Data!$B$2:$B$53 + Settings!$B$4/24) &gt; A669))&gt;0)</f>
        <v>1</v>
      </c>
      <c r="C669">
        <f>--(SUMPRODUCT((Data!$C$2:$C$53="K12A")*((Data!$A$2:$A$53 - Settings!$B$4/24) &lt;= A669)*((Data!$B$2:$B$53 + Settings!$B$4/24) &gt; A669))&gt;0)</f>
        <v>1</v>
      </c>
      <c r="D669">
        <f>--(SUMPRODUCT((Data!$C$2:$C$53="K12")*((Data!$A$2:$A$53 - Settings!$B$4/24) &lt;= A669)*((Data!$B$2:$B$53 + Settings!$B$4/24) &gt; A669))&gt;0)</f>
        <v>1</v>
      </c>
      <c r="E669">
        <f>--(SUMPRODUCT((Data!$C$2:$C$53="K12B")*((Data!$A$2:$A$53 - Settings!$B$4/24) &lt;= A669)*((Data!$B$2:$B$53 + Settings!$B$4/24) &gt; A669))&gt;0)</f>
        <v>0</v>
      </c>
      <c r="F669">
        <f>--(SUMPRODUCT((Data!$C$2:$C$53="TT2")*((Data!$A$2:$A$53 - Settings!$B$4/24) &lt;= A669)*((Data!$B$2:$B$53 + Settings!$B$4/24) &gt; A669))&gt;0)</f>
        <v>1</v>
      </c>
    </row>
    <row r="670" spans="1:6" ht="15.6" x14ac:dyDescent="0.3">
      <c r="A670" s="1">
        <v>45959.833680555559</v>
      </c>
      <c r="B670">
        <f>--(SUMPRODUCT((Data!$C$2:$C$53="K12C")*((Data!$A$2:$A$53 - Settings!$B$4/24) &lt;= A670)*((Data!$B$2:$B$53 + Settings!$B$4/24) &gt; A670))&gt;0)</f>
        <v>1</v>
      </c>
      <c r="C670">
        <f>--(SUMPRODUCT((Data!$C$2:$C$53="K12A")*((Data!$A$2:$A$53 - Settings!$B$4/24) &lt;= A670)*((Data!$B$2:$B$53 + Settings!$B$4/24) &gt; A670))&gt;0)</f>
        <v>1</v>
      </c>
      <c r="D670">
        <f>--(SUMPRODUCT((Data!$C$2:$C$53="K12")*((Data!$A$2:$A$53 - Settings!$B$4/24) &lt;= A670)*((Data!$B$2:$B$53 + Settings!$B$4/24) &gt; A670))&gt;0)</f>
        <v>1</v>
      </c>
      <c r="E670">
        <f>--(SUMPRODUCT((Data!$C$2:$C$53="K12B")*((Data!$A$2:$A$53 - Settings!$B$4/24) &lt;= A670)*((Data!$B$2:$B$53 + Settings!$B$4/24) &gt; A670))&gt;0)</f>
        <v>0</v>
      </c>
      <c r="F670">
        <f>--(SUMPRODUCT((Data!$C$2:$C$53="TT2")*((Data!$A$2:$A$53 - Settings!$B$4/24) &lt;= A670)*((Data!$B$2:$B$53 + Settings!$B$4/24) &gt; A670))&gt;0)</f>
        <v>1</v>
      </c>
    </row>
    <row r="671" spans="1:6" ht="15.6" x14ac:dyDescent="0.3">
      <c r="A671" s="1">
        <v>45959.875347222223</v>
      </c>
      <c r="B671">
        <f>--(SUMPRODUCT((Data!$C$2:$C$53="K12C")*((Data!$A$2:$A$53 - Settings!$B$4/24) &lt;= A671)*((Data!$B$2:$B$53 + Settings!$B$4/24) &gt; A671))&gt;0)</f>
        <v>1</v>
      </c>
      <c r="C671">
        <f>--(SUMPRODUCT((Data!$C$2:$C$53="K12A")*((Data!$A$2:$A$53 - Settings!$B$4/24) &lt;= A671)*((Data!$B$2:$B$53 + Settings!$B$4/24) &gt; A671))&gt;0)</f>
        <v>1</v>
      </c>
      <c r="D671">
        <f>--(SUMPRODUCT((Data!$C$2:$C$53="K12")*((Data!$A$2:$A$53 - Settings!$B$4/24) &lt;= A671)*((Data!$B$2:$B$53 + Settings!$B$4/24) &gt; A671))&gt;0)</f>
        <v>1</v>
      </c>
      <c r="E671">
        <f>--(SUMPRODUCT((Data!$C$2:$C$53="K12B")*((Data!$A$2:$A$53 - Settings!$B$4/24) &lt;= A671)*((Data!$B$2:$B$53 + Settings!$B$4/24) &gt; A671))&gt;0)</f>
        <v>0</v>
      </c>
      <c r="F671">
        <f>--(SUMPRODUCT((Data!$C$2:$C$53="TT2")*((Data!$A$2:$A$53 - Settings!$B$4/24) &lt;= A671)*((Data!$B$2:$B$53 + Settings!$B$4/24) &gt; A671))&gt;0)</f>
        <v>1</v>
      </c>
    </row>
    <row r="672" spans="1:6" ht="15.6" x14ac:dyDescent="0.3">
      <c r="A672" s="1">
        <v>45959.917013888888</v>
      </c>
      <c r="B672">
        <f>--(SUMPRODUCT((Data!$C$2:$C$53="K12C")*((Data!$A$2:$A$53 - Settings!$B$4/24) &lt;= A672)*((Data!$B$2:$B$53 + Settings!$B$4/24) &gt; A672))&gt;0)</f>
        <v>1</v>
      </c>
      <c r="C672">
        <f>--(SUMPRODUCT((Data!$C$2:$C$53="K12A")*((Data!$A$2:$A$53 - Settings!$B$4/24) &lt;= A672)*((Data!$B$2:$B$53 + Settings!$B$4/24) &gt; A672))&gt;0)</f>
        <v>1</v>
      </c>
      <c r="D672">
        <f>--(SUMPRODUCT((Data!$C$2:$C$53="K12")*((Data!$A$2:$A$53 - Settings!$B$4/24) &lt;= A672)*((Data!$B$2:$B$53 + Settings!$B$4/24) &gt; A672))&gt;0)</f>
        <v>1</v>
      </c>
      <c r="E672">
        <f>--(SUMPRODUCT((Data!$C$2:$C$53="K12B")*((Data!$A$2:$A$53 - Settings!$B$4/24) &lt;= A672)*((Data!$B$2:$B$53 + Settings!$B$4/24) &gt; A672))&gt;0)</f>
        <v>0</v>
      </c>
      <c r="F672">
        <f>--(SUMPRODUCT((Data!$C$2:$C$53="TT2")*((Data!$A$2:$A$53 - Settings!$B$4/24) &lt;= A672)*((Data!$B$2:$B$53 + Settings!$B$4/24) &gt; A672))&gt;0)</f>
        <v>1</v>
      </c>
    </row>
    <row r="673" spans="1:6" ht="15.6" x14ac:dyDescent="0.3">
      <c r="A673" s="1">
        <v>45959.958680555559</v>
      </c>
      <c r="B673">
        <f>--(SUMPRODUCT((Data!$C$2:$C$53="K12C")*((Data!$A$2:$A$53 - Settings!$B$4/24) &lt;= A673)*((Data!$B$2:$B$53 + Settings!$B$4/24) &gt; A673))&gt;0)</f>
        <v>1</v>
      </c>
      <c r="C673">
        <f>--(SUMPRODUCT((Data!$C$2:$C$53="K12A")*((Data!$A$2:$A$53 - Settings!$B$4/24) &lt;= A673)*((Data!$B$2:$B$53 + Settings!$B$4/24) &gt; A673))&gt;0)</f>
        <v>1</v>
      </c>
      <c r="D673">
        <f>--(SUMPRODUCT((Data!$C$2:$C$53="K12")*((Data!$A$2:$A$53 - Settings!$B$4/24) &lt;= A673)*((Data!$B$2:$B$53 + Settings!$B$4/24) &gt; A673))&gt;0)</f>
        <v>1</v>
      </c>
      <c r="E673">
        <f>--(SUMPRODUCT((Data!$C$2:$C$53="K12B")*((Data!$A$2:$A$53 - Settings!$B$4/24) &lt;= A673)*((Data!$B$2:$B$53 + Settings!$B$4/24) &gt; A673))&gt;0)</f>
        <v>0</v>
      </c>
      <c r="F673">
        <f>--(SUMPRODUCT((Data!$C$2:$C$53="TT2")*((Data!$A$2:$A$53 - Settings!$B$4/24) &lt;= A673)*((Data!$B$2:$B$53 + Settings!$B$4/24) &gt; A673))&gt;0)</f>
        <v>1</v>
      </c>
    </row>
    <row r="674" spans="1:6" ht="15.6" x14ac:dyDescent="0.3">
      <c r="A674" s="1">
        <v>45960.000347222223</v>
      </c>
      <c r="B674">
        <f>--(SUMPRODUCT((Data!$C$2:$C$53="K12C")*((Data!$A$2:$A$53 - Settings!$B$4/24) &lt;= A674)*((Data!$B$2:$B$53 + Settings!$B$4/24) &gt; A674))&gt;0)</f>
        <v>1</v>
      </c>
      <c r="C674">
        <f>--(SUMPRODUCT((Data!$C$2:$C$53="K12A")*((Data!$A$2:$A$53 - Settings!$B$4/24) &lt;= A674)*((Data!$B$2:$B$53 + Settings!$B$4/24) &gt; A674))&gt;0)</f>
        <v>1</v>
      </c>
      <c r="D674">
        <f>--(SUMPRODUCT((Data!$C$2:$C$53="K12")*((Data!$A$2:$A$53 - Settings!$B$4/24) &lt;= A674)*((Data!$B$2:$B$53 + Settings!$B$4/24) &gt; A674))&gt;0)</f>
        <v>1</v>
      </c>
      <c r="E674">
        <f>--(SUMPRODUCT((Data!$C$2:$C$53="K12B")*((Data!$A$2:$A$53 - Settings!$B$4/24) &lt;= A674)*((Data!$B$2:$B$53 + Settings!$B$4/24) &gt; A674))&gt;0)</f>
        <v>0</v>
      </c>
      <c r="F674">
        <f>--(SUMPRODUCT((Data!$C$2:$C$53="TT2")*((Data!$A$2:$A$53 - Settings!$B$4/24) &lt;= A674)*((Data!$B$2:$B$53 + Settings!$B$4/24) &gt; A674))&gt;0)</f>
        <v>1</v>
      </c>
    </row>
    <row r="675" spans="1:6" ht="15.6" x14ac:dyDescent="0.3">
      <c r="A675" s="1">
        <v>45960.042013888888</v>
      </c>
      <c r="B675">
        <f>--(SUMPRODUCT((Data!$C$2:$C$53="K12C")*((Data!$A$2:$A$53 - Settings!$B$4/24) &lt;= A675)*((Data!$B$2:$B$53 + Settings!$B$4/24) &gt; A675))&gt;0)</f>
        <v>1</v>
      </c>
      <c r="C675">
        <f>--(SUMPRODUCT((Data!$C$2:$C$53="K12A")*((Data!$A$2:$A$53 - Settings!$B$4/24) &lt;= A675)*((Data!$B$2:$B$53 + Settings!$B$4/24) &gt; A675))&gt;0)</f>
        <v>1</v>
      </c>
      <c r="D675">
        <f>--(SUMPRODUCT((Data!$C$2:$C$53="K12")*((Data!$A$2:$A$53 - Settings!$B$4/24) &lt;= A675)*((Data!$B$2:$B$53 + Settings!$B$4/24) &gt; A675))&gt;0)</f>
        <v>1</v>
      </c>
      <c r="E675">
        <f>--(SUMPRODUCT((Data!$C$2:$C$53="K12B")*((Data!$A$2:$A$53 - Settings!$B$4/24) &lt;= A675)*((Data!$B$2:$B$53 + Settings!$B$4/24) &gt; A675))&gt;0)</f>
        <v>0</v>
      </c>
      <c r="F675">
        <f>--(SUMPRODUCT((Data!$C$2:$C$53="TT2")*((Data!$A$2:$A$53 - Settings!$B$4/24) &lt;= A675)*((Data!$B$2:$B$53 + Settings!$B$4/24) &gt; A675))&gt;0)</f>
        <v>1</v>
      </c>
    </row>
    <row r="676" spans="1:6" ht="15.6" x14ac:dyDescent="0.3">
      <c r="A676" s="1">
        <v>45960.083680555559</v>
      </c>
      <c r="B676">
        <f>--(SUMPRODUCT((Data!$C$2:$C$53="K12C")*((Data!$A$2:$A$53 - Settings!$B$4/24) &lt;= A676)*((Data!$B$2:$B$53 + Settings!$B$4/24) &gt; A676))&gt;0)</f>
        <v>1</v>
      </c>
      <c r="C676">
        <f>--(SUMPRODUCT((Data!$C$2:$C$53="K12A")*((Data!$A$2:$A$53 - Settings!$B$4/24) &lt;= A676)*((Data!$B$2:$B$53 + Settings!$B$4/24) &gt; A676))&gt;0)</f>
        <v>1</v>
      </c>
      <c r="D676">
        <f>--(SUMPRODUCT((Data!$C$2:$C$53="K12")*((Data!$A$2:$A$53 - Settings!$B$4/24) &lt;= A676)*((Data!$B$2:$B$53 + Settings!$B$4/24) &gt; A676))&gt;0)</f>
        <v>1</v>
      </c>
      <c r="E676">
        <f>--(SUMPRODUCT((Data!$C$2:$C$53="K12B")*((Data!$A$2:$A$53 - Settings!$B$4/24) &lt;= A676)*((Data!$B$2:$B$53 + Settings!$B$4/24) &gt; A676))&gt;0)</f>
        <v>0</v>
      </c>
      <c r="F676">
        <f>--(SUMPRODUCT((Data!$C$2:$C$53="TT2")*((Data!$A$2:$A$53 - Settings!$B$4/24) &lt;= A676)*((Data!$B$2:$B$53 + Settings!$B$4/24) &gt; A676))&gt;0)</f>
        <v>1</v>
      </c>
    </row>
    <row r="677" spans="1:6" ht="15.6" x14ac:dyDescent="0.3">
      <c r="A677" s="1">
        <v>45960.125347222223</v>
      </c>
      <c r="B677">
        <f>--(SUMPRODUCT((Data!$C$2:$C$53="K12C")*((Data!$A$2:$A$53 - Settings!$B$4/24) &lt;= A677)*((Data!$B$2:$B$53 + Settings!$B$4/24) &gt; A677))&gt;0)</f>
        <v>1</v>
      </c>
      <c r="C677">
        <f>--(SUMPRODUCT((Data!$C$2:$C$53="K12A")*((Data!$A$2:$A$53 - Settings!$B$4/24) &lt;= A677)*((Data!$B$2:$B$53 + Settings!$B$4/24) &gt; A677))&gt;0)</f>
        <v>1</v>
      </c>
      <c r="D677">
        <f>--(SUMPRODUCT((Data!$C$2:$C$53="K12")*((Data!$A$2:$A$53 - Settings!$B$4/24) &lt;= A677)*((Data!$B$2:$B$53 + Settings!$B$4/24) &gt; A677))&gt;0)</f>
        <v>1</v>
      </c>
      <c r="E677">
        <f>--(SUMPRODUCT((Data!$C$2:$C$53="K12B")*((Data!$A$2:$A$53 - Settings!$B$4/24) &lt;= A677)*((Data!$B$2:$B$53 + Settings!$B$4/24) &gt; A677))&gt;0)</f>
        <v>0</v>
      </c>
      <c r="F677">
        <f>--(SUMPRODUCT((Data!$C$2:$C$53="TT2")*((Data!$A$2:$A$53 - Settings!$B$4/24) &lt;= A677)*((Data!$B$2:$B$53 + Settings!$B$4/24) &gt; A677))&gt;0)</f>
        <v>1</v>
      </c>
    </row>
    <row r="678" spans="1:6" ht="15.6" x14ac:dyDescent="0.3">
      <c r="A678" s="1">
        <v>45960.167013888888</v>
      </c>
      <c r="B678">
        <f>--(SUMPRODUCT((Data!$C$2:$C$53="K12C")*((Data!$A$2:$A$53 - Settings!$B$4/24) &lt;= A678)*((Data!$B$2:$B$53 + Settings!$B$4/24) &gt; A678))&gt;0)</f>
        <v>1</v>
      </c>
      <c r="C678">
        <f>--(SUMPRODUCT((Data!$C$2:$C$53="K12A")*((Data!$A$2:$A$53 - Settings!$B$4/24) &lt;= A678)*((Data!$B$2:$B$53 + Settings!$B$4/24) &gt; A678))&gt;0)</f>
        <v>1</v>
      </c>
      <c r="D678">
        <f>--(SUMPRODUCT((Data!$C$2:$C$53="K12")*((Data!$A$2:$A$53 - Settings!$B$4/24) &lt;= A678)*((Data!$B$2:$B$53 + Settings!$B$4/24) &gt; A678))&gt;0)</f>
        <v>1</v>
      </c>
      <c r="E678">
        <f>--(SUMPRODUCT((Data!$C$2:$C$53="K12B")*((Data!$A$2:$A$53 - Settings!$B$4/24) &lt;= A678)*((Data!$B$2:$B$53 + Settings!$B$4/24) &gt; A678))&gt;0)</f>
        <v>0</v>
      </c>
      <c r="F678">
        <f>--(SUMPRODUCT((Data!$C$2:$C$53="TT2")*((Data!$A$2:$A$53 - Settings!$B$4/24) &lt;= A678)*((Data!$B$2:$B$53 + Settings!$B$4/24) &gt; A678))&gt;0)</f>
        <v>1</v>
      </c>
    </row>
    <row r="679" spans="1:6" ht="15.6" x14ac:dyDescent="0.3">
      <c r="A679" s="1">
        <v>45960.208680555559</v>
      </c>
      <c r="B679">
        <f>--(SUMPRODUCT((Data!$C$2:$C$53="K12C")*((Data!$A$2:$A$53 - Settings!$B$4/24) &lt;= A679)*((Data!$B$2:$B$53 + Settings!$B$4/24) &gt; A679))&gt;0)</f>
        <v>1</v>
      </c>
      <c r="C679">
        <f>--(SUMPRODUCT((Data!$C$2:$C$53="K12A")*((Data!$A$2:$A$53 - Settings!$B$4/24) &lt;= A679)*((Data!$B$2:$B$53 + Settings!$B$4/24) &gt; A679))&gt;0)</f>
        <v>1</v>
      </c>
      <c r="D679">
        <f>--(SUMPRODUCT((Data!$C$2:$C$53="K12")*((Data!$A$2:$A$53 - Settings!$B$4/24) &lt;= A679)*((Data!$B$2:$B$53 + Settings!$B$4/24) &gt; A679))&gt;0)</f>
        <v>1</v>
      </c>
      <c r="E679">
        <f>--(SUMPRODUCT((Data!$C$2:$C$53="K12B")*((Data!$A$2:$A$53 - Settings!$B$4/24) &lt;= A679)*((Data!$B$2:$B$53 + Settings!$B$4/24) &gt; A679))&gt;0)</f>
        <v>0</v>
      </c>
      <c r="F679">
        <f>--(SUMPRODUCT((Data!$C$2:$C$53="TT2")*((Data!$A$2:$A$53 - Settings!$B$4/24) &lt;= A679)*((Data!$B$2:$B$53 + Settings!$B$4/24) &gt; A679))&gt;0)</f>
        <v>1</v>
      </c>
    </row>
    <row r="680" spans="1:6" ht="15.6" x14ac:dyDescent="0.3">
      <c r="A680" s="1">
        <v>45960.250347222223</v>
      </c>
      <c r="B680">
        <f>--(SUMPRODUCT((Data!$C$2:$C$53="K12C")*((Data!$A$2:$A$53 - Settings!$B$4/24) &lt;= A680)*((Data!$B$2:$B$53 + Settings!$B$4/24) &gt; A680))&gt;0)</f>
        <v>1</v>
      </c>
      <c r="C680">
        <f>--(SUMPRODUCT((Data!$C$2:$C$53="K12A")*((Data!$A$2:$A$53 - Settings!$B$4/24) &lt;= A680)*((Data!$B$2:$B$53 + Settings!$B$4/24) &gt; A680))&gt;0)</f>
        <v>1</v>
      </c>
      <c r="D680">
        <f>--(SUMPRODUCT((Data!$C$2:$C$53="K12")*((Data!$A$2:$A$53 - Settings!$B$4/24) &lt;= A680)*((Data!$B$2:$B$53 + Settings!$B$4/24) &gt; A680))&gt;0)</f>
        <v>1</v>
      </c>
      <c r="E680">
        <f>--(SUMPRODUCT((Data!$C$2:$C$53="K12B")*((Data!$A$2:$A$53 - Settings!$B$4/24) &lt;= A680)*((Data!$B$2:$B$53 + Settings!$B$4/24) &gt; A680))&gt;0)</f>
        <v>0</v>
      </c>
      <c r="F680">
        <f>--(SUMPRODUCT((Data!$C$2:$C$53="TT2")*((Data!$A$2:$A$53 - Settings!$B$4/24) &lt;= A680)*((Data!$B$2:$B$53 + Settings!$B$4/24) &gt; A680))&gt;0)</f>
        <v>1</v>
      </c>
    </row>
    <row r="681" spans="1:6" ht="15.6" x14ac:dyDescent="0.3">
      <c r="A681" s="1">
        <v>45960.292013888888</v>
      </c>
      <c r="B681">
        <f>--(SUMPRODUCT((Data!$C$2:$C$53="K12C")*((Data!$A$2:$A$53 - Settings!$B$4/24) &lt;= A681)*((Data!$B$2:$B$53 + Settings!$B$4/24) &gt; A681))&gt;0)</f>
        <v>1</v>
      </c>
      <c r="C681">
        <f>--(SUMPRODUCT((Data!$C$2:$C$53="K12A")*((Data!$A$2:$A$53 - Settings!$B$4/24) &lt;= A681)*((Data!$B$2:$B$53 + Settings!$B$4/24) &gt; A681))&gt;0)</f>
        <v>1</v>
      </c>
      <c r="D681">
        <f>--(SUMPRODUCT((Data!$C$2:$C$53="K12")*((Data!$A$2:$A$53 - Settings!$B$4/24) &lt;= A681)*((Data!$B$2:$B$53 + Settings!$B$4/24) &gt; A681))&gt;0)</f>
        <v>1</v>
      </c>
      <c r="E681">
        <f>--(SUMPRODUCT((Data!$C$2:$C$53="K12B")*((Data!$A$2:$A$53 - Settings!$B$4/24) &lt;= A681)*((Data!$B$2:$B$53 + Settings!$B$4/24) &gt; A681))&gt;0)</f>
        <v>0</v>
      </c>
      <c r="F681">
        <f>--(SUMPRODUCT((Data!$C$2:$C$53="TT2")*((Data!$A$2:$A$53 - Settings!$B$4/24) &lt;= A681)*((Data!$B$2:$B$53 + Settings!$B$4/24) &gt; A681))&gt;0)</f>
        <v>1</v>
      </c>
    </row>
    <row r="682" spans="1:6" ht="15.6" x14ac:dyDescent="0.3">
      <c r="A682" s="1">
        <v>45960.333680555559</v>
      </c>
      <c r="B682">
        <f>--(SUMPRODUCT((Data!$C$2:$C$53="K12C")*((Data!$A$2:$A$53 - Settings!$B$4/24) &lt;= A682)*((Data!$B$2:$B$53 + Settings!$B$4/24) &gt; A682))&gt;0)</f>
        <v>1</v>
      </c>
      <c r="C682">
        <f>--(SUMPRODUCT((Data!$C$2:$C$53="K12A")*((Data!$A$2:$A$53 - Settings!$B$4/24) &lt;= A682)*((Data!$B$2:$B$53 + Settings!$B$4/24) &gt; A682))&gt;0)</f>
        <v>1</v>
      </c>
      <c r="D682">
        <f>--(SUMPRODUCT((Data!$C$2:$C$53="K12")*((Data!$A$2:$A$53 - Settings!$B$4/24) &lt;= A682)*((Data!$B$2:$B$53 + Settings!$B$4/24) &gt; A682))&gt;0)</f>
        <v>1</v>
      </c>
      <c r="E682">
        <f>--(SUMPRODUCT((Data!$C$2:$C$53="K12B")*((Data!$A$2:$A$53 - Settings!$B$4/24) &lt;= A682)*((Data!$B$2:$B$53 + Settings!$B$4/24) &gt; A682))&gt;0)</f>
        <v>0</v>
      </c>
      <c r="F682">
        <f>--(SUMPRODUCT((Data!$C$2:$C$53="TT2")*((Data!$A$2:$A$53 - Settings!$B$4/24) &lt;= A682)*((Data!$B$2:$B$53 + Settings!$B$4/24) &gt; A682))&gt;0)</f>
        <v>1</v>
      </c>
    </row>
    <row r="683" spans="1:6" ht="15.6" x14ac:dyDescent="0.3">
      <c r="A683" s="1">
        <v>45960.375347222223</v>
      </c>
      <c r="B683">
        <f>--(SUMPRODUCT((Data!$C$2:$C$53="K12C")*((Data!$A$2:$A$53 - Settings!$B$4/24) &lt;= A683)*((Data!$B$2:$B$53 + Settings!$B$4/24) &gt; A683))&gt;0)</f>
        <v>1</v>
      </c>
      <c r="C683">
        <f>--(SUMPRODUCT((Data!$C$2:$C$53="K12A")*((Data!$A$2:$A$53 - Settings!$B$4/24) &lt;= A683)*((Data!$B$2:$B$53 + Settings!$B$4/24) &gt; A683))&gt;0)</f>
        <v>1</v>
      </c>
      <c r="D683">
        <f>--(SUMPRODUCT((Data!$C$2:$C$53="K12")*((Data!$A$2:$A$53 - Settings!$B$4/24) &lt;= A683)*((Data!$B$2:$B$53 + Settings!$B$4/24) &gt; A683))&gt;0)</f>
        <v>1</v>
      </c>
      <c r="E683">
        <f>--(SUMPRODUCT((Data!$C$2:$C$53="K12B")*((Data!$A$2:$A$53 - Settings!$B$4/24) &lt;= A683)*((Data!$B$2:$B$53 + Settings!$B$4/24) &gt; A683))&gt;0)</f>
        <v>0</v>
      </c>
      <c r="F683">
        <f>--(SUMPRODUCT((Data!$C$2:$C$53="TT2")*((Data!$A$2:$A$53 - Settings!$B$4/24) &lt;= A683)*((Data!$B$2:$B$53 + Settings!$B$4/24) &gt; A683))&gt;0)</f>
        <v>1</v>
      </c>
    </row>
    <row r="684" spans="1:6" ht="15.6" x14ac:dyDescent="0.3">
      <c r="A684" s="1">
        <v>45960.417013888888</v>
      </c>
      <c r="B684">
        <f>--(SUMPRODUCT((Data!$C$2:$C$53="K12C")*((Data!$A$2:$A$53 - Settings!$B$4/24) &lt;= A684)*((Data!$B$2:$B$53 + Settings!$B$4/24) &gt; A684))&gt;0)</f>
        <v>1</v>
      </c>
      <c r="C684">
        <f>--(SUMPRODUCT((Data!$C$2:$C$53="K12A")*((Data!$A$2:$A$53 - Settings!$B$4/24) &lt;= A684)*((Data!$B$2:$B$53 + Settings!$B$4/24) &gt; A684))&gt;0)</f>
        <v>1</v>
      </c>
      <c r="D684">
        <f>--(SUMPRODUCT((Data!$C$2:$C$53="K12")*((Data!$A$2:$A$53 - Settings!$B$4/24) &lt;= A684)*((Data!$B$2:$B$53 + Settings!$B$4/24) &gt; A684))&gt;0)</f>
        <v>1</v>
      </c>
      <c r="E684">
        <f>--(SUMPRODUCT((Data!$C$2:$C$53="K12B")*((Data!$A$2:$A$53 - Settings!$B$4/24) &lt;= A684)*((Data!$B$2:$B$53 + Settings!$B$4/24) &gt; A684))&gt;0)</f>
        <v>0</v>
      </c>
      <c r="F684">
        <f>--(SUMPRODUCT((Data!$C$2:$C$53="TT2")*((Data!$A$2:$A$53 - Settings!$B$4/24) &lt;= A684)*((Data!$B$2:$B$53 + Settings!$B$4/24) &gt; A684))&gt;0)</f>
        <v>1</v>
      </c>
    </row>
    <row r="685" spans="1:6" ht="15.6" x14ac:dyDescent="0.3">
      <c r="A685" s="1">
        <v>45960.458680555559</v>
      </c>
      <c r="B685">
        <f>--(SUMPRODUCT((Data!$C$2:$C$53="K12C")*((Data!$A$2:$A$53 - Settings!$B$4/24) &lt;= A685)*((Data!$B$2:$B$53 + Settings!$B$4/24) &gt; A685))&gt;0)</f>
        <v>1</v>
      </c>
      <c r="C685">
        <f>--(SUMPRODUCT((Data!$C$2:$C$53="K12A")*((Data!$A$2:$A$53 - Settings!$B$4/24) &lt;= A685)*((Data!$B$2:$B$53 + Settings!$B$4/24) &gt; A685))&gt;0)</f>
        <v>1</v>
      </c>
      <c r="D685">
        <f>--(SUMPRODUCT((Data!$C$2:$C$53="K12")*((Data!$A$2:$A$53 - Settings!$B$4/24) &lt;= A685)*((Data!$B$2:$B$53 + Settings!$B$4/24) &gt; A685))&gt;0)</f>
        <v>1</v>
      </c>
      <c r="E685">
        <f>--(SUMPRODUCT((Data!$C$2:$C$53="K12B")*((Data!$A$2:$A$53 - Settings!$B$4/24) &lt;= A685)*((Data!$B$2:$B$53 + Settings!$B$4/24) &gt; A685))&gt;0)</f>
        <v>0</v>
      </c>
      <c r="F685">
        <f>--(SUMPRODUCT((Data!$C$2:$C$53="TT2")*((Data!$A$2:$A$53 - Settings!$B$4/24) &lt;= A685)*((Data!$B$2:$B$53 + Settings!$B$4/24) &gt; A685))&gt;0)</f>
        <v>1</v>
      </c>
    </row>
    <row r="686" spans="1:6" ht="15.6" x14ac:dyDescent="0.3">
      <c r="A686" s="1">
        <v>45960.500347222223</v>
      </c>
      <c r="B686">
        <f>--(SUMPRODUCT((Data!$C$2:$C$53="K12C")*((Data!$A$2:$A$53 - Settings!$B$4/24) &lt;= A686)*((Data!$B$2:$B$53 + Settings!$B$4/24) &gt; A686))&gt;0)</f>
        <v>1</v>
      </c>
      <c r="C686">
        <f>--(SUMPRODUCT((Data!$C$2:$C$53="K12A")*((Data!$A$2:$A$53 - Settings!$B$4/24) &lt;= A686)*((Data!$B$2:$B$53 + Settings!$B$4/24) &gt; A686))&gt;0)</f>
        <v>1</v>
      </c>
      <c r="D686">
        <f>--(SUMPRODUCT((Data!$C$2:$C$53="K12")*((Data!$A$2:$A$53 - Settings!$B$4/24) &lt;= A686)*((Data!$B$2:$B$53 + Settings!$B$4/24) &gt; A686))&gt;0)</f>
        <v>1</v>
      </c>
      <c r="E686">
        <f>--(SUMPRODUCT((Data!$C$2:$C$53="K12B")*((Data!$A$2:$A$53 - Settings!$B$4/24) &lt;= A686)*((Data!$B$2:$B$53 + Settings!$B$4/24) &gt; A686))&gt;0)</f>
        <v>0</v>
      </c>
      <c r="F686">
        <f>--(SUMPRODUCT((Data!$C$2:$C$53="TT2")*((Data!$A$2:$A$53 - Settings!$B$4/24) &lt;= A686)*((Data!$B$2:$B$53 + Settings!$B$4/24) &gt; A686))&gt;0)</f>
        <v>1</v>
      </c>
    </row>
    <row r="687" spans="1:6" ht="15.6" x14ac:dyDescent="0.3">
      <c r="A687" s="1">
        <v>45960.542013888888</v>
      </c>
      <c r="B687">
        <f>--(SUMPRODUCT((Data!$C$2:$C$53="K12C")*((Data!$A$2:$A$53 - Settings!$B$4/24) &lt;= A687)*((Data!$B$2:$B$53 + Settings!$B$4/24) &gt; A687))&gt;0)</f>
        <v>1</v>
      </c>
      <c r="C687">
        <f>--(SUMPRODUCT((Data!$C$2:$C$53="K12A")*((Data!$A$2:$A$53 - Settings!$B$4/24) &lt;= A687)*((Data!$B$2:$B$53 + Settings!$B$4/24) &gt; A687))&gt;0)</f>
        <v>1</v>
      </c>
      <c r="D687">
        <f>--(SUMPRODUCT((Data!$C$2:$C$53="K12")*((Data!$A$2:$A$53 - Settings!$B$4/24) &lt;= A687)*((Data!$B$2:$B$53 + Settings!$B$4/24) &gt; A687))&gt;0)</f>
        <v>1</v>
      </c>
      <c r="E687">
        <f>--(SUMPRODUCT((Data!$C$2:$C$53="K12B")*((Data!$A$2:$A$53 - Settings!$B$4/24) &lt;= A687)*((Data!$B$2:$B$53 + Settings!$B$4/24) &gt; A687))&gt;0)</f>
        <v>0</v>
      </c>
      <c r="F687">
        <f>--(SUMPRODUCT((Data!$C$2:$C$53="TT2")*((Data!$A$2:$A$53 - Settings!$B$4/24) &lt;= A687)*((Data!$B$2:$B$53 + Settings!$B$4/24) &gt; A687))&gt;0)</f>
        <v>1</v>
      </c>
    </row>
    <row r="688" spans="1:6" ht="15.6" x14ac:dyDescent="0.3">
      <c r="A688" s="1">
        <v>45960.583680555559</v>
      </c>
      <c r="B688">
        <f>--(SUMPRODUCT((Data!$C$2:$C$53="K12C")*((Data!$A$2:$A$53 - Settings!$B$4/24) &lt;= A688)*((Data!$B$2:$B$53 + Settings!$B$4/24) &gt; A688))&gt;0)</f>
        <v>1</v>
      </c>
      <c r="C688">
        <f>--(SUMPRODUCT((Data!$C$2:$C$53="K12A")*((Data!$A$2:$A$53 - Settings!$B$4/24) &lt;= A688)*((Data!$B$2:$B$53 + Settings!$B$4/24) &gt; A688))&gt;0)</f>
        <v>1</v>
      </c>
      <c r="D688">
        <f>--(SUMPRODUCT((Data!$C$2:$C$53="K12")*((Data!$A$2:$A$53 - Settings!$B$4/24) &lt;= A688)*((Data!$B$2:$B$53 + Settings!$B$4/24) &gt; A688))&gt;0)</f>
        <v>1</v>
      </c>
      <c r="E688">
        <f>--(SUMPRODUCT((Data!$C$2:$C$53="K12B")*((Data!$A$2:$A$53 - Settings!$B$4/24) &lt;= A688)*((Data!$B$2:$B$53 + Settings!$B$4/24) &gt; A688))&gt;0)</f>
        <v>0</v>
      </c>
      <c r="F688">
        <f>--(SUMPRODUCT((Data!$C$2:$C$53="TT2")*((Data!$A$2:$A$53 - Settings!$B$4/24) &lt;= A688)*((Data!$B$2:$B$53 + Settings!$B$4/24) &gt; A688))&gt;0)</f>
        <v>1</v>
      </c>
    </row>
    <row r="689" spans="1:6" ht="15.6" x14ac:dyDescent="0.3">
      <c r="A689" s="1">
        <v>45960.625347222223</v>
      </c>
      <c r="B689">
        <f>--(SUMPRODUCT((Data!$C$2:$C$53="K12C")*((Data!$A$2:$A$53 - Settings!$B$4/24) &lt;= A689)*((Data!$B$2:$B$53 + Settings!$B$4/24) &gt; A689))&gt;0)</f>
        <v>1</v>
      </c>
      <c r="C689">
        <f>--(SUMPRODUCT((Data!$C$2:$C$53="K12A")*((Data!$A$2:$A$53 - Settings!$B$4/24) &lt;= A689)*((Data!$B$2:$B$53 + Settings!$B$4/24) &gt; A689))&gt;0)</f>
        <v>1</v>
      </c>
      <c r="D689">
        <f>--(SUMPRODUCT((Data!$C$2:$C$53="K12")*((Data!$A$2:$A$53 - Settings!$B$4/24) &lt;= A689)*((Data!$B$2:$B$53 + Settings!$B$4/24) &gt; A689))&gt;0)</f>
        <v>1</v>
      </c>
      <c r="E689">
        <f>--(SUMPRODUCT((Data!$C$2:$C$53="K12B")*((Data!$A$2:$A$53 - Settings!$B$4/24) &lt;= A689)*((Data!$B$2:$B$53 + Settings!$B$4/24) &gt; A689))&gt;0)</f>
        <v>0</v>
      </c>
      <c r="F689">
        <f>--(SUMPRODUCT((Data!$C$2:$C$53="TT2")*((Data!$A$2:$A$53 - Settings!$B$4/24) &lt;= A689)*((Data!$B$2:$B$53 + Settings!$B$4/24) &gt; A689))&gt;0)</f>
        <v>1</v>
      </c>
    </row>
    <row r="690" spans="1:6" ht="15.6" x14ac:dyDescent="0.3">
      <c r="A690" s="1">
        <v>45960.667013888888</v>
      </c>
      <c r="B690">
        <f>--(SUMPRODUCT((Data!$C$2:$C$53="K12C")*((Data!$A$2:$A$53 - Settings!$B$4/24) &lt;= A690)*((Data!$B$2:$B$53 + Settings!$B$4/24) &gt; A690))&gt;0)</f>
        <v>1</v>
      </c>
      <c r="C690">
        <f>--(SUMPRODUCT((Data!$C$2:$C$53="K12A")*((Data!$A$2:$A$53 - Settings!$B$4/24) &lt;= A690)*((Data!$B$2:$B$53 + Settings!$B$4/24) &gt; A690))&gt;0)</f>
        <v>1</v>
      </c>
      <c r="D690">
        <f>--(SUMPRODUCT((Data!$C$2:$C$53="K12")*((Data!$A$2:$A$53 - Settings!$B$4/24) &lt;= A690)*((Data!$B$2:$B$53 + Settings!$B$4/24) &gt; A690))&gt;0)</f>
        <v>1</v>
      </c>
      <c r="E690">
        <f>--(SUMPRODUCT((Data!$C$2:$C$53="K12B")*((Data!$A$2:$A$53 - Settings!$B$4/24) &lt;= A690)*((Data!$B$2:$B$53 + Settings!$B$4/24) &gt; A690))&gt;0)</f>
        <v>0</v>
      </c>
      <c r="F690">
        <f>--(SUMPRODUCT((Data!$C$2:$C$53="TT2")*((Data!$A$2:$A$53 - Settings!$B$4/24) &lt;= A690)*((Data!$B$2:$B$53 + Settings!$B$4/24) &gt; A690))&gt;0)</f>
        <v>1</v>
      </c>
    </row>
    <row r="691" spans="1:6" ht="15.6" x14ac:dyDescent="0.3">
      <c r="A691" s="1">
        <v>45960.708680555559</v>
      </c>
      <c r="B691">
        <f>--(SUMPRODUCT((Data!$C$2:$C$53="K12C")*((Data!$A$2:$A$53 - Settings!$B$4/24) &lt;= A691)*((Data!$B$2:$B$53 + Settings!$B$4/24) &gt; A691))&gt;0)</f>
        <v>1</v>
      </c>
      <c r="C691">
        <f>--(SUMPRODUCT((Data!$C$2:$C$53="K12A")*((Data!$A$2:$A$53 - Settings!$B$4/24) &lt;= A691)*((Data!$B$2:$B$53 + Settings!$B$4/24) &gt; A691))&gt;0)</f>
        <v>1</v>
      </c>
      <c r="D691">
        <f>--(SUMPRODUCT((Data!$C$2:$C$53="K12")*((Data!$A$2:$A$53 - Settings!$B$4/24) &lt;= A691)*((Data!$B$2:$B$53 + Settings!$B$4/24) &gt; A691))&gt;0)</f>
        <v>1</v>
      </c>
      <c r="E691">
        <f>--(SUMPRODUCT((Data!$C$2:$C$53="K12B")*((Data!$A$2:$A$53 - Settings!$B$4/24) &lt;= A691)*((Data!$B$2:$B$53 + Settings!$B$4/24) &gt; A691))&gt;0)</f>
        <v>0</v>
      </c>
      <c r="F691">
        <f>--(SUMPRODUCT((Data!$C$2:$C$53="TT2")*((Data!$A$2:$A$53 - Settings!$B$4/24) &lt;= A691)*((Data!$B$2:$B$53 + Settings!$B$4/24) &gt; A691))&gt;0)</f>
        <v>1</v>
      </c>
    </row>
    <row r="692" spans="1:6" ht="15.6" x14ac:dyDescent="0.3">
      <c r="A692" s="1">
        <v>45960.750347222223</v>
      </c>
      <c r="B692">
        <f>--(SUMPRODUCT((Data!$C$2:$C$53="K12C")*((Data!$A$2:$A$53 - Settings!$B$4/24) &lt;= A692)*((Data!$B$2:$B$53 + Settings!$B$4/24) &gt; A692))&gt;0)</f>
        <v>1</v>
      </c>
      <c r="C692">
        <f>--(SUMPRODUCT((Data!$C$2:$C$53="K12A")*((Data!$A$2:$A$53 - Settings!$B$4/24) &lt;= A692)*((Data!$B$2:$B$53 + Settings!$B$4/24) &gt; A692))&gt;0)</f>
        <v>1</v>
      </c>
      <c r="D692">
        <f>--(SUMPRODUCT((Data!$C$2:$C$53="K12")*((Data!$A$2:$A$53 - Settings!$B$4/24) &lt;= A692)*((Data!$B$2:$B$53 + Settings!$B$4/24) &gt; A692))&gt;0)</f>
        <v>1</v>
      </c>
      <c r="E692">
        <f>--(SUMPRODUCT((Data!$C$2:$C$53="K12B")*((Data!$A$2:$A$53 - Settings!$B$4/24) &lt;= A692)*((Data!$B$2:$B$53 + Settings!$B$4/24) &gt; A692))&gt;0)</f>
        <v>1</v>
      </c>
      <c r="F692">
        <f>--(SUMPRODUCT((Data!$C$2:$C$53="TT2")*((Data!$A$2:$A$53 - Settings!$B$4/24) &lt;= A692)*((Data!$B$2:$B$53 + Settings!$B$4/24) &gt; A692))&gt;0)</f>
        <v>1</v>
      </c>
    </row>
    <row r="693" spans="1:6" ht="15.6" x14ac:dyDescent="0.3">
      <c r="A693" s="1">
        <v>45960.792013888888</v>
      </c>
      <c r="B693">
        <f>--(SUMPRODUCT((Data!$C$2:$C$53="K12C")*((Data!$A$2:$A$53 - Settings!$B$4/24) &lt;= A693)*((Data!$B$2:$B$53 + Settings!$B$4/24) &gt; A693))&gt;0)</f>
        <v>1</v>
      </c>
      <c r="C693">
        <f>--(SUMPRODUCT((Data!$C$2:$C$53="K12A")*((Data!$A$2:$A$53 - Settings!$B$4/24) &lt;= A693)*((Data!$B$2:$B$53 + Settings!$B$4/24) &gt; A693))&gt;0)</f>
        <v>1</v>
      </c>
      <c r="D693">
        <f>--(SUMPRODUCT((Data!$C$2:$C$53="K12")*((Data!$A$2:$A$53 - Settings!$B$4/24) &lt;= A693)*((Data!$B$2:$B$53 + Settings!$B$4/24) &gt; A693))&gt;0)</f>
        <v>1</v>
      </c>
      <c r="E693">
        <f>--(SUMPRODUCT((Data!$C$2:$C$53="K12B")*((Data!$A$2:$A$53 - Settings!$B$4/24) &lt;= A693)*((Data!$B$2:$B$53 + Settings!$B$4/24) &gt; A693))&gt;0)</f>
        <v>1</v>
      </c>
      <c r="F693">
        <f>--(SUMPRODUCT((Data!$C$2:$C$53="TT2")*((Data!$A$2:$A$53 - Settings!$B$4/24) &lt;= A693)*((Data!$B$2:$B$53 + Settings!$B$4/24) &gt; A693))&gt;0)</f>
        <v>1</v>
      </c>
    </row>
    <row r="694" spans="1:6" ht="15.6" x14ac:dyDescent="0.3">
      <c r="A694" s="1">
        <v>45960.833680555559</v>
      </c>
      <c r="B694">
        <f>--(SUMPRODUCT((Data!$C$2:$C$53="K12C")*((Data!$A$2:$A$53 - Settings!$B$4/24) &lt;= A694)*((Data!$B$2:$B$53 + Settings!$B$4/24) &gt; A694))&gt;0)</f>
        <v>1</v>
      </c>
      <c r="C694">
        <f>--(SUMPRODUCT((Data!$C$2:$C$53="K12A")*((Data!$A$2:$A$53 - Settings!$B$4/24) &lt;= A694)*((Data!$B$2:$B$53 + Settings!$B$4/24) &gt; A694))&gt;0)</f>
        <v>1</v>
      </c>
      <c r="D694">
        <f>--(SUMPRODUCT((Data!$C$2:$C$53="K12")*((Data!$A$2:$A$53 - Settings!$B$4/24) &lt;= A694)*((Data!$B$2:$B$53 + Settings!$B$4/24) &gt; A694))&gt;0)</f>
        <v>1</v>
      </c>
      <c r="E694">
        <f>--(SUMPRODUCT((Data!$C$2:$C$53="K12B")*((Data!$A$2:$A$53 - Settings!$B$4/24) &lt;= A694)*((Data!$B$2:$B$53 + Settings!$B$4/24) &gt; A694))&gt;0)</f>
        <v>1</v>
      </c>
      <c r="F694">
        <f>--(SUMPRODUCT((Data!$C$2:$C$53="TT2")*((Data!$A$2:$A$53 - Settings!$B$4/24) &lt;= A694)*((Data!$B$2:$B$53 + Settings!$B$4/24) &gt; A694))&gt;0)</f>
        <v>1</v>
      </c>
    </row>
    <row r="695" spans="1:6" ht="15.6" x14ac:dyDescent="0.3">
      <c r="A695" s="1">
        <v>45960.875347222223</v>
      </c>
      <c r="B695">
        <f>--(SUMPRODUCT((Data!$C$2:$C$53="K12C")*((Data!$A$2:$A$53 - Settings!$B$4/24) &lt;= A695)*((Data!$B$2:$B$53 + Settings!$B$4/24) &gt; A695))&gt;0)</f>
        <v>1</v>
      </c>
      <c r="C695">
        <f>--(SUMPRODUCT((Data!$C$2:$C$53="K12A")*((Data!$A$2:$A$53 - Settings!$B$4/24) &lt;= A695)*((Data!$B$2:$B$53 + Settings!$B$4/24) &gt; A695))&gt;0)</f>
        <v>1</v>
      </c>
      <c r="D695">
        <f>--(SUMPRODUCT((Data!$C$2:$C$53="K12")*((Data!$A$2:$A$53 - Settings!$B$4/24) &lt;= A695)*((Data!$B$2:$B$53 + Settings!$B$4/24) &gt; A695))&gt;0)</f>
        <v>1</v>
      </c>
      <c r="E695">
        <f>--(SUMPRODUCT((Data!$C$2:$C$53="K12B")*((Data!$A$2:$A$53 - Settings!$B$4/24) &lt;= A695)*((Data!$B$2:$B$53 + Settings!$B$4/24) &gt; A695))&gt;0)</f>
        <v>1</v>
      </c>
      <c r="F695">
        <f>--(SUMPRODUCT((Data!$C$2:$C$53="TT2")*((Data!$A$2:$A$53 - Settings!$B$4/24) &lt;= A695)*((Data!$B$2:$B$53 + Settings!$B$4/24) &gt; A695))&gt;0)</f>
        <v>1</v>
      </c>
    </row>
    <row r="696" spans="1:6" ht="15.6" x14ac:dyDescent="0.3">
      <c r="A696" s="1">
        <v>45960.917013888888</v>
      </c>
      <c r="B696">
        <f>--(SUMPRODUCT((Data!$C$2:$C$53="K12C")*((Data!$A$2:$A$53 - Settings!$B$4/24) &lt;= A696)*((Data!$B$2:$B$53 + Settings!$B$4/24) &gt; A696))&gt;0)</f>
        <v>1</v>
      </c>
      <c r="C696">
        <f>--(SUMPRODUCT((Data!$C$2:$C$53="K12A")*((Data!$A$2:$A$53 - Settings!$B$4/24) &lt;= A696)*((Data!$B$2:$B$53 + Settings!$B$4/24) &gt; A696))&gt;0)</f>
        <v>1</v>
      </c>
      <c r="D696">
        <f>--(SUMPRODUCT((Data!$C$2:$C$53="K12")*((Data!$A$2:$A$53 - Settings!$B$4/24) &lt;= A696)*((Data!$B$2:$B$53 + Settings!$B$4/24) &gt; A696))&gt;0)</f>
        <v>1</v>
      </c>
      <c r="E696">
        <f>--(SUMPRODUCT((Data!$C$2:$C$53="K12B")*((Data!$A$2:$A$53 - Settings!$B$4/24) &lt;= A696)*((Data!$B$2:$B$53 + Settings!$B$4/24) &gt; A696))&gt;0)</f>
        <v>1</v>
      </c>
      <c r="F696">
        <f>--(SUMPRODUCT((Data!$C$2:$C$53="TT2")*((Data!$A$2:$A$53 - Settings!$B$4/24) &lt;= A696)*((Data!$B$2:$B$53 + Settings!$B$4/24) &gt; A696))&gt;0)</f>
        <v>1</v>
      </c>
    </row>
    <row r="697" spans="1:6" ht="15.6" x14ac:dyDescent="0.3">
      <c r="A697" s="1">
        <v>45960.958680555559</v>
      </c>
      <c r="B697">
        <f>--(SUMPRODUCT((Data!$C$2:$C$53="K12C")*((Data!$A$2:$A$53 - Settings!$B$4/24) &lt;= A697)*((Data!$B$2:$B$53 + Settings!$B$4/24) &gt; A697))&gt;0)</f>
        <v>1</v>
      </c>
      <c r="C697">
        <f>--(SUMPRODUCT((Data!$C$2:$C$53="K12A")*((Data!$A$2:$A$53 - Settings!$B$4/24) &lt;= A697)*((Data!$B$2:$B$53 + Settings!$B$4/24) &gt; A697))&gt;0)</f>
        <v>1</v>
      </c>
      <c r="D697">
        <f>--(SUMPRODUCT((Data!$C$2:$C$53="K12")*((Data!$A$2:$A$53 - Settings!$B$4/24) &lt;= A697)*((Data!$B$2:$B$53 + Settings!$B$4/24) &gt; A697))&gt;0)</f>
        <v>1</v>
      </c>
      <c r="E697">
        <f>--(SUMPRODUCT((Data!$C$2:$C$53="K12B")*((Data!$A$2:$A$53 - Settings!$B$4/24) &lt;= A697)*((Data!$B$2:$B$53 + Settings!$B$4/24) &gt; A697))&gt;0)</f>
        <v>1</v>
      </c>
      <c r="F697">
        <f>--(SUMPRODUCT((Data!$C$2:$C$53="TT2")*((Data!$A$2:$A$53 - Settings!$B$4/24) &lt;= A697)*((Data!$B$2:$B$53 + Settings!$B$4/24) &gt; A697))&gt;0)</f>
        <v>1</v>
      </c>
    </row>
    <row r="698" spans="1:6" ht="15.6" x14ac:dyDescent="0.3">
      <c r="A698" s="1">
        <v>45961.000347222223</v>
      </c>
      <c r="B698">
        <f>--(SUMPRODUCT((Data!$C$2:$C$53="K12C")*((Data!$A$2:$A$53 - Settings!$B$4/24) &lt;= A698)*((Data!$B$2:$B$53 + Settings!$B$4/24) &gt; A698))&gt;0)</f>
        <v>1</v>
      </c>
      <c r="C698">
        <f>--(SUMPRODUCT((Data!$C$2:$C$53="K12A")*((Data!$A$2:$A$53 - Settings!$B$4/24) &lt;= A698)*((Data!$B$2:$B$53 + Settings!$B$4/24) &gt; A698))&gt;0)</f>
        <v>1</v>
      </c>
      <c r="D698">
        <f>--(SUMPRODUCT((Data!$C$2:$C$53="K12")*((Data!$A$2:$A$53 - Settings!$B$4/24) &lt;= A698)*((Data!$B$2:$B$53 + Settings!$B$4/24) &gt; A698))&gt;0)</f>
        <v>1</v>
      </c>
      <c r="E698">
        <f>--(SUMPRODUCT((Data!$C$2:$C$53="K12B")*((Data!$A$2:$A$53 - Settings!$B$4/24) &lt;= A698)*((Data!$B$2:$B$53 + Settings!$B$4/24) &gt; A698))&gt;0)</f>
        <v>1</v>
      </c>
      <c r="F698">
        <f>--(SUMPRODUCT((Data!$C$2:$C$53="TT2")*((Data!$A$2:$A$53 - Settings!$B$4/24) &lt;= A698)*((Data!$B$2:$B$53 + Settings!$B$4/24) &gt; A698))&gt;0)</f>
        <v>1</v>
      </c>
    </row>
    <row r="699" spans="1:6" ht="15.6" x14ac:dyDescent="0.3">
      <c r="A699" s="1">
        <v>45961.042013888888</v>
      </c>
      <c r="B699">
        <f>--(SUMPRODUCT((Data!$C$2:$C$53="K12C")*((Data!$A$2:$A$53 - Settings!$B$4/24) &lt;= A699)*((Data!$B$2:$B$53 + Settings!$B$4/24) &gt; A699))&gt;0)</f>
        <v>1</v>
      </c>
      <c r="C699">
        <f>--(SUMPRODUCT((Data!$C$2:$C$53="K12A")*((Data!$A$2:$A$53 - Settings!$B$4/24) &lt;= A699)*((Data!$B$2:$B$53 + Settings!$B$4/24) &gt; A699))&gt;0)</f>
        <v>1</v>
      </c>
      <c r="D699">
        <f>--(SUMPRODUCT((Data!$C$2:$C$53="K12")*((Data!$A$2:$A$53 - Settings!$B$4/24) &lt;= A699)*((Data!$B$2:$B$53 + Settings!$B$4/24) &gt; A699))&gt;0)</f>
        <v>1</v>
      </c>
      <c r="E699">
        <f>--(SUMPRODUCT((Data!$C$2:$C$53="K12B")*((Data!$A$2:$A$53 - Settings!$B$4/24) &lt;= A699)*((Data!$B$2:$B$53 + Settings!$B$4/24) &gt; A699))&gt;0)</f>
        <v>1</v>
      </c>
      <c r="F699">
        <f>--(SUMPRODUCT((Data!$C$2:$C$53="TT2")*((Data!$A$2:$A$53 - Settings!$B$4/24) &lt;= A699)*((Data!$B$2:$B$53 + Settings!$B$4/24) &gt; A699))&gt;0)</f>
        <v>1</v>
      </c>
    </row>
    <row r="700" spans="1:6" ht="15.6" x14ac:dyDescent="0.3">
      <c r="A700" s="1">
        <v>45961.083680555559</v>
      </c>
      <c r="B700">
        <f>--(SUMPRODUCT((Data!$C$2:$C$53="K12C")*((Data!$A$2:$A$53 - Settings!$B$4/24) &lt;= A700)*((Data!$B$2:$B$53 + Settings!$B$4/24) &gt; A700))&gt;0)</f>
        <v>1</v>
      </c>
      <c r="C700">
        <f>--(SUMPRODUCT((Data!$C$2:$C$53="K12A")*((Data!$A$2:$A$53 - Settings!$B$4/24) &lt;= A700)*((Data!$B$2:$B$53 + Settings!$B$4/24) &gt; A700))&gt;0)</f>
        <v>1</v>
      </c>
      <c r="D700">
        <f>--(SUMPRODUCT((Data!$C$2:$C$53="K12")*((Data!$A$2:$A$53 - Settings!$B$4/24) &lt;= A700)*((Data!$B$2:$B$53 + Settings!$B$4/24) &gt; A700))&gt;0)</f>
        <v>1</v>
      </c>
      <c r="E700">
        <f>--(SUMPRODUCT((Data!$C$2:$C$53="K12B")*((Data!$A$2:$A$53 - Settings!$B$4/24) &lt;= A700)*((Data!$B$2:$B$53 + Settings!$B$4/24) &gt; A700))&gt;0)</f>
        <v>1</v>
      </c>
      <c r="F700">
        <f>--(SUMPRODUCT((Data!$C$2:$C$53="TT2")*((Data!$A$2:$A$53 - Settings!$B$4/24) &lt;= A700)*((Data!$B$2:$B$53 + Settings!$B$4/24) &gt; A700))&gt;0)</f>
        <v>1</v>
      </c>
    </row>
    <row r="701" spans="1:6" ht="15.6" x14ac:dyDescent="0.3">
      <c r="A701" s="1">
        <v>45961.125347222223</v>
      </c>
      <c r="B701">
        <f>--(SUMPRODUCT((Data!$C$2:$C$53="K12C")*((Data!$A$2:$A$53 - Settings!$B$4/24) &lt;= A701)*((Data!$B$2:$B$53 + Settings!$B$4/24) &gt; A701))&gt;0)</f>
        <v>1</v>
      </c>
      <c r="C701">
        <f>--(SUMPRODUCT((Data!$C$2:$C$53="K12A")*((Data!$A$2:$A$53 - Settings!$B$4/24) &lt;= A701)*((Data!$B$2:$B$53 + Settings!$B$4/24) &gt; A701))&gt;0)</f>
        <v>1</v>
      </c>
      <c r="D701">
        <f>--(SUMPRODUCT((Data!$C$2:$C$53="K12")*((Data!$A$2:$A$53 - Settings!$B$4/24) &lt;= A701)*((Data!$B$2:$B$53 + Settings!$B$4/24) &gt; A701))&gt;0)</f>
        <v>1</v>
      </c>
      <c r="E701">
        <f>--(SUMPRODUCT((Data!$C$2:$C$53="K12B")*((Data!$A$2:$A$53 - Settings!$B$4/24) &lt;= A701)*((Data!$B$2:$B$53 + Settings!$B$4/24) &gt; A701))&gt;0)</f>
        <v>1</v>
      </c>
      <c r="F701">
        <f>--(SUMPRODUCT((Data!$C$2:$C$53="TT2")*((Data!$A$2:$A$53 - Settings!$B$4/24) &lt;= A701)*((Data!$B$2:$B$53 + Settings!$B$4/24) &gt; A701))&gt;0)</f>
        <v>1</v>
      </c>
    </row>
    <row r="702" spans="1:6" ht="15.6" x14ac:dyDescent="0.3">
      <c r="A702" s="1">
        <v>45961.167013888888</v>
      </c>
      <c r="B702">
        <f>--(SUMPRODUCT((Data!$C$2:$C$53="K12C")*((Data!$A$2:$A$53 - Settings!$B$4/24) &lt;= A702)*((Data!$B$2:$B$53 + Settings!$B$4/24) &gt; A702))&gt;0)</f>
        <v>1</v>
      </c>
      <c r="C702">
        <f>--(SUMPRODUCT((Data!$C$2:$C$53="K12A")*((Data!$A$2:$A$53 - Settings!$B$4/24) &lt;= A702)*((Data!$B$2:$B$53 + Settings!$B$4/24) &gt; A702))&gt;0)</f>
        <v>1</v>
      </c>
      <c r="D702">
        <f>--(SUMPRODUCT((Data!$C$2:$C$53="K12")*((Data!$A$2:$A$53 - Settings!$B$4/24) &lt;= A702)*((Data!$B$2:$B$53 + Settings!$B$4/24) &gt; A702))&gt;0)</f>
        <v>1</v>
      </c>
      <c r="E702">
        <f>--(SUMPRODUCT((Data!$C$2:$C$53="K12B")*((Data!$A$2:$A$53 - Settings!$B$4/24) &lt;= A702)*((Data!$B$2:$B$53 + Settings!$B$4/24) &gt; A702))&gt;0)</f>
        <v>1</v>
      </c>
      <c r="F702">
        <f>--(SUMPRODUCT((Data!$C$2:$C$53="TT2")*((Data!$A$2:$A$53 - Settings!$B$4/24) &lt;= A702)*((Data!$B$2:$B$53 + Settings!$B$4/24) &gt; A702))&gt;0)</f>
        <v>1</v>
      </c>
    </row>
    <row r="703" spans="1:6" ht="15.6" x14ac:dyDescent="0.3">
      <c r="A703" s="1">
        <v>45961.208680555559</v>
      </c>
      <c r="B703">
        <f>--(SUMPRODUCT((Data!$C$2:$C$53="K12C")*((Data!$A$2:$A$53 - Settings!$B$4/24) &lt;= A703)*((Data!$B$2:$B$53 + Settings!$B$4/24) &gt; A703))&gt;0)</f>
        <v>1</v>
      </c>
      <c r="C703">
        <f>--(SUMPRODUCT((Data!$C$2:$C$53="K12A")*((Data!$A$2:$A$53 - Settings!$B$4/24) &lt;= A703)*((Data!$B$2:$B$53 + Settings!$B$4/24) &gt; A703))&gt;0)</f>
        <v>1</v>
      </c>
      <c r="D703">
        <f>--(SUMPRODUCT((Data!$C$2:$C$53="K12")*((Data!$A$2:$A$53 - Settings!$B$4/24) &lt;= A703)*((Data!$B$2:$B$53 + Settings!$B$4/24) &gt; A703))&gt;0)</f>
        <v>1</v>
      </c>
      <c r="E703">
        <f>--(SUMPRODUCT((Data!$C$2:$C$53="K12B")*((Data!$A$2:$A$53 - Settings!$B$4/24) &lt;= A703)*((Data!$B$2:$B$53 + Settings!$B$4/24) &gt; A703))&gt;0)</f>
        <v>1</v>
      </c>
      <c r="F703">
        <f>--(SUMPRODUCT((Data!$C$2:$C$53="TT2")*((Data!$A$2:$A$53 - Settings!$B$4/24) &lt;= A703)*((Data!$B$2:$B$53 + Settings!$B$4/24) &gt; A703))&gt;0)</f>
        <v>1</v>
      </c>
    </row>
    <row r="704" spans="1:6" ht="15.6" x14ac:dyDescent="0.3">
      <c r="A704" s="1">
        <v>45961.250347222223</v>
      </c>
      <c r="B704">
        <f>--(SUMPRODUCT((Data!$C$2:$C$53="K12C")*((Data!$A$2:$A$53 - Settings!$B$4/24) &lt;= A704)*((Data!$B$2:$B$53 + Settings!$B$4/24) &gt; A704))&gt;0)</f>
        <v>1</v>
      </c>
      <c r="C704">
        <f>--(SUMPRODUCT((Data!$C$2:$C$53="K12A")*((Data!$A$2:$A$53 - Settings!$B$4/24) &lt;= A704)*((Data!$B$2:$B$53 + Settings!$B$4/24) &gt; A704))&gt;0)</f>
        <v>1</v>
      </c>
      <c r="D704">
        <f>--(SUMPRODUCT((Data!$C$2:$C$53="K12")*((Data!$A$2:$A$53 - Settings!$B$4/24) &lt;= A704)*((Data!$B$2:$B$53 + Settings!$B$4/24) &gt; A704))&gt;0)</f>
        <v>1</v>
      </c>
      <c r="E704">
        <f>--(SUMPRODUCT((Data!$C$2:$C$53="K12B")*((Data!$A$2:$A$53 - Settings!$B$4/24) &lt;= A704)*((Data!$B$2:$B$53 + Settings!$B$4/24) &gt; A704))&gt;0)</f>
        <v>1</v>
      </c>
      <c r="F704">
        <f>--(SUMPRODUCT((Data!$C$2:$C$53="TT2")*((Data!$A$2:$A$53 - Settings!$B$4/24) &lt;= A704)*((Data!$B$2:$B$53 + Settings!$B$4/24) &gt; A704))&gt;0)</f>
        <v>1</v>
      </c>
    </row>
    <row r="705" spans="1:6" ht="15.6" x14ac:dyDescent="0.3">
      <c r="A705" s="1">
        <v>45961.292013888888</v>
      </c>
      <c r="B705">
        <f>--(SUMPRODUCT((Data!$C$2:$C$53="K12C")*((Data!$A$2:$A$53 - Settings!$B$4/24) &lt;= A705)*((Data!$B$2:$B$53 + Settings!$B$4/24) &gt; A705))&gt;0)</f>
        <v>1</v>
      </c>
      <c r="C705">
        <f>--(SUMPRODUCT((Data!$C$2:$C$53="K12A")*((Data!$A$2:$A$53 - Settings!$B$4/24) &lt;= A705)*((Data!$B$2:$B$53 + Settings!$B$4/24) &gt; A705))&gt;0)</f>
        <v>1</v>
      </c>
      <c r="D705">
        <f>--(SUMPRODUCT((Data!$C$2:$C$53="K12")*((Data!$A$2:$A$53 - Settings!$B$4/24) &lt;= A705)*((Data!$B$2:$B$53 + Settings!$B$4/24) &gt; A705))&gt;0)</f>
        <v>1</v>
      </c>
      <c r="E705">
        <f>--(SUMPRODUCT((Data!$C$2:$C$53="K12B")*((Data!$A$2:$A$53 - Settings!$B$4/24) &lt;= A705)*((Data!$B$2:$B$53 + Settings!$B$4/24) &gt; A705))&gt;0)</f>
        <v>1</v>
      </c>
      <c r="F705">
        <f>--(SUMPRODUCT((Data!$C$2:$C$53="TT2")*((Data!$A$2:$A$53 - Settings!$B$4/24) &lt;= A705)*((Data!$B$2:$B$53 + Settings!$B$4/24) &gt; A705))&gt;0)</f>
        <v>1</v>
      </c>
    </row>
    <row r="706" spans="1:6" ht="15.6" x14ac:dyDescent="0.3">
      <c r="A706" s="1">
        <v>45961.333680555559</v>
      </c>
      <c r="B706">
        <f>--(SUMPRODUCT((Data!$C$2:$C$53="K12C")*((Data!$A$2:$A$53 - Settings!$B$4/24) &lt;= A706)*((Data!$B$2:$B$53 + Settings!$B$4/24) &gt; A706))&gt;0)</f>
        <v>1</v>
      </c>
      <c r="C706">
        <f>--(SUMPRODUCT((Data!$C$2:$C$53="K12A")*((Data!$A$2:$A$53 - Settings!$B$4/24) &lt;= A706)*((Data!$B$2:$B$53 + Settings!$B$4/24) &gt; A706))&gt;0)</f>
        <v>1</v>
      </c>
      <c r="D706">
        <f>--(SUMPRODUCT((Data!$C$2:$C$53="K12")*((Data!$A$2:$A$53 - Settings!$B$4/24) &lt;= A706)*((Data!$B$2:$B$53 + Settings!$B$4/24) &gt; A706))&gt;0)</f>
        <v>1</v>
      </c>
      <c r="E706">
        <f>--(SUMPRODUCT((Data!$C$2:$C$53="K12B")*((Data!$A$2:$A$53 - Settings!$B$4/24) &lt;= A706)*((Data!$B$2:$B$53 + Settings!$B$4/24) &gt; A706))&gt;0)</f>
        <v>1</v>
      </c>
      <c r="F706">
        <f>--(SUMPRODUCT((Data!$C$2:$C$53="TT2")*((Data!$A$2:$A$53 - Settings!$B$4/24) &lt;= A706)*((Data!$B$2:$B$53 + Settings!$B$4/24) &gt; A706))&gt;0)</f>
        <v>1</v>
      </c>
    </row>
    <row r="707" spans="1:6" ht="15.6" x14ac:dyDescent="0.3">
      <c r="A707" s="1">
        <v>45961.375347222223</v>
      </c>
      <c r="B707">
        <f>--(SUMPRODUCT((Data!$C$2:$C$53="K12C")*((Data!$A$2:$A$53 - Settings!$B$4/24) &lt;= A707)*((Data!$B$2:$B$53 + Settings!$B$4/24) &gt; A707))&gt;0)</f>
        <v>1</v>
      </c>
      <c r="C707">
        <f>--(SUMPRODUCT((Data!$C$2:$C$53="K12A")*((Data!$A$2:$A$53 - Settings!$B$4/24) &lt;= A707)*((Data!$B$2:$B$53 + Settings!$B$4/24) &gt; A707))&gt;0)</f>
        <v>1</v>
      </c>
      <c r="D707">
        <f>--(SUMPRODUCT((Data!$C$2:$C$53="K12")*((Data!$A$2:$A$53 - Settings!$B$4/24) &lt;= A707)*((Data!$B$2:$B$53 + Settings!$B$4/24) &gt; A707))&gt;0)</f>
        <v>1</v>
      </c>
      <c r="E707">
        <f>--(SUMPRODUCT((Data!$C$2:$C$53="K12B")*((Data!$A$2:$A$53 - Settings!$B$4/24) &lt;= A707)*((Data!$B$2:$B$53 + Settings!$B$4/24) &gt; A707))&gt;0)</f>
        <v>1</v>
      </c>
      <c r="F707">
        <f>--(SUMPRODUCT((Data!$C$2:$C$53="TT2")*((Data!$A$2:$A$53 - Settings!$B$4/24) &lt;= A707)*((Data!$B$2:$B$53 + Settings!$B$4/24) &gt; A707))&gt;0)</f>
        <v>1</v>
      </c>
    </row>
    <row r="708" spans="1:6" ht="15.6" x14ac:dyDescent="0.3">
      <c r="A708" s="1">
        <v>45961.417013888888</v>
      </c>
      <c r="B708">
        <f>--(SUMPRODUCT((Data!$C$2:$C$53="K12C")*((Data!$A$2:$A$53 - Settings!$B$4/24) &lt;= A708)*((Data!$B$2:$B$53 + Settings!$B$4/24) &gt; A708))&gt;0)</f>
        <v>1</v>
      </c>
      <c r="C708">
        <f>--(SUMPRODUCT((Data!$C$2:$C$53="K12A")*((Data!$A$2:$A$53 - Settings!$B$4/24) &lt;= A708)*((Data!$B$2:$B$53 + Settings!$B$4/24) &gt; A708))&gt;0)</f>
        <v>1</v>
      </c>
      <c r="D708">
        <f>--(SUMPRODUCT((Data!$C$2:$C$53="K12")*((Data!$A$2:$A$53 - Settings!$B$4/24) &lt;= A708)*((Data!$B$2:$B$53 + Settings!$B$4/24) &gt; A708))&gt;0)</f>
        <v>1</v>
      </c>
      <c r="E708">
        <f>--(SUMPRODUCT((Data!$C$2:$C$53="K12B")*((Data!$A$2:$A$53 - Settings!$B$4/24) &lt;= A708)*((Data!$B$2:$B$53 + Settings!$B$4/24) &gt; A708))&gt;0)</f>
        <v>1</v>
      </c>
      <c r="F708">
        <f>--(SUMPRODUCT((Data!$C$2:$C$53="TT2")*((Data!$A$2:$A$53 - Settings!$B$4/24) &lt;= A708)*((Data!$B$2:$B$53 + Settings!$B$4/24) &gt; A708))&gt;0)</f>
        <v>1</v>
      </c>
    </row>
    <row r="709" spans="1:6" ht="15.6" x14ac:dyDescent="0.3">
      <c r="A709" s="1">
        <v>45961.458680555559</v>
      </c>
      <c r="B709">
        <f>--(SUMPRODUCT((Data!$C$2:$C$53="K12C")*((Data!$A$2:$A$53 - Settings!$B$4/24) &lt;= A709)*((Data!$B$2:$B$53 + Settings!$B$4/24) &gt; A709))&gt;0)</f>
        <v>1</v>
      </c>
      <c r="C709">
        <f>--(SUMPRODUCT((Data!$C$2:$C$53="K12A")*((Data!$A$2:$A$53 - Settings!$B$4/24) &lt;= A709)*((Data!$B$2:$B$53 + Settings!$B$4/24) &gt; A709))&gt;0)</f>
        <v>1</v>
      </c>
      <c r="D709">
        <f>--(SUMPRODUCT((Data!$C$2:$C$53="K12")*((Data!$A$2:$A$53 - Settings!$B$4/24) &lt;= A709)*((Data!$B$2:$B$53 + Settings!$B$4/24) &gt; A709))&gt;0)</f>
        <v>1</v>
      </c>
      <c r="E709">
        <f>--(SUMPRODUCT((Data!$C$2:$C$53="K12B")*((Data!$A$2:$A$53 - Settings!$B$4/24) &lt;= A709)*((Data!$B$2:$B$53 + Settings!$B$4/24) &gt; A709))&gt;0)</f>
        <v>0</v>
      </c>
      <c r="F709">
        <f>--(SUMPRODUCT((Data!$C$2:$C$53="TT2")*((Data!$A$2:$A$53 - Settings!$B$4/24) &lt;= A709)*((Data!$B$2:$B$53 + Settings!$B$4/24) &gt; A709))&gt;0)</f>
        <v>1</v>
      </c>
    </row>
    <row r="710" spans="1:6" ht="15.6" x14ac:dyDescent="0.3">
      <c r="A710" s="1">
        <v>45961.500347222223</v>
      </c>
      <c r="B710">
        <f>--(SUMPRODUCT((Data!$C$2:$C$53="K12C")*((Data!$A$2:$A$53 - Settings!$B$4/24) &lt;= A710)*((Data!$B$2:$B$53 + Settings!$B$4/24) &gt; A710))&gt;0)</f>
        <v>1</v>
      </c>
      <c r="C710">
        <f>--(SUMPRODUCT((Data!$C$2:$C$53="K12A")*((Data!$A$2:$A$53 - Settings!$B$4/24) &lt;= A710)*((Data!$B$2:$B$53 + Settings!$B$4/24) &gt; A710))&gt;0)</f>
        <v>1</v>
      </c>
      <c r="D710">
        <f>--(SUMPRODUCT((Data!$C$2:$C$53="K12")*((Data!$A$2:$A$53 - Settings!$B$4/24) &lt;= A710)*((Data!$B$2:$B$53 + Settings!$B$4/24) &gt; A710))&gt;0)</f>
        <v>1</v>
      </c>
      <c r="E710">
        <f>--(SUMPRODUCT((Data!$C$2:$C$53="K12B")*((Data!$A$2:$A$53 - Settings!$B$4/24) &lt;= A710)*((Data!$B$2:$B$53 + Settings!$B$4/24) &gt; A710))&gt;0)</f>
        <v>0</v>
      </c>
      <c r="F710">
        <f>--(SUMPRODUCT((Data!$C$2:$C$53="TT2")*((Data!$A$2:$A$53 - Settings!$B$4/24) &lt;= A710)*((Data!$B$2:$B$53 + Settings!$B$4/24) &gt; A710))&gt;0)</f>
        <v>1</v>
      </c>
    </row>
    <row r="711" spans="1:6" ht="15.6" x14ac:dyDescent="0.3">
      <c r="A711" s="1">
        <v>45961.542013888888</v>
      </c>
      <c r="B711">
        <f>--(SUMPRODUCT((Data!$C$2:$C$53="K12C")*((Data!$A$2:$A$53 - Settings!$B$4/24) &lt;= A711)*((Data!$B$2:$B$53 + Settings!$B$4/24) &gt; A711))&gt;0)</f>
        <v>1</v>
      </c>
      <c r="C711">
        <f>--(SUMPRODUCT((Data!$C$2:$C$53="K12A")*((Data!$A$2:$A$53 - Settings!$B$4/24) &lt;= A711)*((Data!$B$2:$B$53 + Settings!$B$4/24) &gt; A711))&gt;0)</f>
        <v>1</v>
      </c>
      <c r="D711">
        <f>--(SUMPRODUCT((Data!$C$2:$C$53="K12")*((Data!$A$2:$A$53 - Settings!$B$4/24) &lt;= A711)*((Data!$B$2:$B$53 + Settings!$B$4/24) &gt; A711))&gt;0)</f>
        <v>1</v>
      </c>
      <c r="E711">
        <f>--(SUMPRODUCT((Data!$C$2:$C$53="K12B")*((Data!$A$2:$A$53 - Settings!$B$4/24) &lt;= A711)*((Data!$B$2:$B$53 + Settings!$B$4/24) &gt; A711))&gt;0)</f>
        <v>0</v>
      </c>
      <c r="F711">
        <f>--(SUMPRODUCT((Data!$C$2:$C$53="TT2")*((Data!$A$2:$A$53 - Settings!$B$4/24) &lt;= A711)*((Data!$B$2:$B$53 + Settings!$B$4/24) &gt; A711))&gt;0)</f>
        <v>1</v>
      </c>
    </row>
    <row r="712" spans="1:6" ht="15.6" x14ac:dyDescent="0.3">
      <c r="A712" s="1">
        <v>45961.583680555559</v>
      </c>
      <c r="B712">
        <f>--(SUMPRODUCT((Data!$C$2:$C$53="K12C")*((Data!$A$2:$A$53 - Settings!$B$4/24) &lt;= A712)*((Data!$B$2:$B$53 + Settings!$B$4/24) &gt; A712))&gt;0)</f>
        <v>1</v>
      </c>
      <c r="C712">
        <f>--(SUMPRODUCT((Data!$C$2:$C$53="K12A")*((Data!$A$2:$A$53 - Settings!$B$4/24) &lt;= A712)*((Data!$B$2:$B$53 + Settings!$B$4/24) &gt; A712))&gt;0)</f>
        <v>1</v>
      </c>
      <c r="D712">
        <f>--(SUMPRODUCT((Data!$C$2:$C$53="K12")*((Data!$A$2:$A$53 - Settings!$B$4/24) &lt;= A712)*((Data!$B$2:$B$53 + Settings!$B$4/24) &gt; A712))&gt;0)</f>
        <v>1</v>
      </c>
      <c r="E712">
        <f>--(SUMPRODUCT((Data!$C$2:$C$53="K12B")*((Data!$A$2:$A$53 - Settings!$B$4/24) &lt;= A712)*((Data!$B$2:$B$53 + Settings!$B$4/24) &gt; A712))&gt;0)</f>
        <v>0</v>
      </c>
      <c r="F712">
        <f>--(SUMPRODUCT((Data!$C$2:$C$53="TT2")*((Data!$A$2:$A$53 - Settings!$B$4/24) &lt;= A712)*((Data!$B$2:$B$53 + Settings!$B$4/24) &gt; A712))&gt;0)</f>
        <v>1</v>
      </c>
    </row>
    <row r="713" spans="1:6" ht="15.6" x14ac:dyDescent="0.3">
      <c r="A713" s="1">
        <v>45961.625347222223</v>
      </c>
      <c r="B713">
        <f>--(SUMPRODUCT((Data!$C$2:$C$53="K12C")*((Data!$A$2:$A$53 - Settings!$B$4/24) &lt;= A713)*((Data!$B$2:$B$53 + Settings!$B$4/24) &gt; A713))&gt;0)</f>
        <v>1</v>
      </c>
      <c r="C713">
        <f>--(SUMPRODUCT((Data!$C$2:$C$53="K12A")*((Data!$A$2:$A$53 - Settings!$B$4/24) &lt;= A713)*((Data!$B$2:$B$53 + Settings!$B$4/24) &gt; A713))&gt;0)</f>
        <v>1</v>
      </c>
      <c r="D713">
        <f>--(SUMPRODUCT((Data!$C$2:$C$53="K12")*((Data!$A$2:$A$53 - Settings!$B$4/24) &lt;= A713)*((Data!$B$2:$B$53 + Settings!$B$4/24) &gt; A713))&gt;0)</f>
        <v>1</v>
      </c>
      <c r="E713">
        <f>--(SUMPRODUCT((Data!$C$2:$C$53="K12B")*((Data!$A$2:$A$53 - Settings!$B$4/24) &lt;= A713)*((Data!$B$2:$B$53 + Settings!$B$4/24) &gt; A713))&gt;0)</f>
        <v>0</v>
      </c>
      <c r="F713">
        <f>--(SUMPRODUCT((Data!$C$2:$C$53="TT2")*((Data!$A$2:$A$53 - Settings!$B$4/24) &lt;= A713)*((Data!$B$2:$B$53 + Settings!$B$4/24) &gt; A713))&gt;0)</f>
        <v>1</v>
      </c>
    </row>
    <row r="714" spans="1:6" ht="15.6" x14ac:dyDescent="0.3">
      <c r="A714" s="1">
        <v>45961.667013888888</v>
      </c>
      <c r="B714">
        <f>--(SUMPRODUCT((Data!$C$2:$C$53="K12C")*((Data!$A$2:$A$53 - Settings!$B$4/24) &lt;= A714)*((Data!$B$2:$B$53 + Settings!$B$4/24) &gt; A714))&gt;0)</f>
        <v>1</v>
      </c>
      <c r="C714">
        <f>--(SUMPRODUCT((Data!$C$2:$C$53="K12A")*((Data!$A$2:$A$53 - Settings!$B$4/24) &lt;= A714)*((Data!$B$2:$B$53 + Settings!$B$4/24) &gt; A714))&gt;0)</f>
        <v>1</v>
      </c>
      <c r="D714">
        <f>--(SUMPRODUCT((Data!$C$2:$C$53="K12")*((Data!$A$2:$A$53 - Settings!$B$4/24) &lt;= A714)*((Data!$B$2:$B$53 + Settings!$B$4/24) &gt; A714))&gt;0)</f>
        <v>1</v>
      </c>
      <c r="E714">
        <f>--(SUMPRODUCT((Data!$C$2:$C$53="K12B")*((Data!$A$2:$A$53 - Settings!$B$4/24) &lt;= A714)*((Data!$B$2:$B$53 + Settings!$B$4/24) &gt; A714))&gt;0)</f>
        <v>0</v>
      </c>
      <c r="F714">
        <f>--(SUMPRODUCT((Data!$C$2:$C$53="TT2")*((Data!$A$2:$A$53 - Settings!$B$4/24) &lt;= A714)*((Data!$B$2:$B$53 + Settings!$B$4/24) &gt; A714))&gt;0)</f>
        <v>1</v>
      </c>
    </row>
    <row r="715" spans="1:6" ht="15.6" x14ac:dyDescent="0.3">
      <c r="A715" s="1">
        <v>45961.708680555559</v>
      </c>
      <c r="B715">
        <f>--(SUMPRODUCT((Data!$C$2:$C$53="K12C")*((Data!$A$2:$A$53 - Settings!$B$4/24) &lt;= A715)*((Data!$B$2:$B$53 + Settings!$B$4/24) &gt; A715))&gt;0)</f>
        <v>1</v>
      </c>
      <c r="C715">
        <f>--(SUMPRODUCT((Data!$C$2:$C$53="K12A")*((Data!$A$2:$A$53 - Settings!$B$4/24) &lt;= A715)*((Data!$B$2:$B$53 + Settings!$B$4/24) &gt; A715))&gt;0)</f>
        <v>1</v>
      </c>
      <c r="D715">
        <f>--(SUMPRODUCT((Data!$C$2:$C$53="K12")*((Data!$A$2:$A$53 - Settings!$B$4/24) &lt;= A715)*((Data!$B$2:$B$53 + Settings!$B$4/24) &gt; A715))&gt;0)</f>
        <v>1</v>
      </c>
      <c r="E715">
        <f>--(SUMPRODUCT((Data!$C$2:$C$53="K12B")*((Data!$A$2:$A$53 - Settings!$B$4/24) &lt;= A715)*((Data!$B$2:$B$53 + Settings!$B$4/24) &gt; A715))&gt;0)</f>
        <v>0</v>
      </c>
      <c r="F715">
        <f>--(SUMPRODUCT((Data!$C$2:$C$53="TT2")*((Data!$A$2:$A$53 - Settings!$B$4/24) &lt;= A715)*((Data!$B$2:$B$53 + Settings!$B$4/24) &gt; A715))&gt;0)</f>
        <v>1</v>
      </c>
    </row>
    <row r="716" spans="1:6" ht="15.6" x14ac:dyDescent="0.3">
      <c r="A716" s="1">
        <v>45961.750347222223</v>
      </c>
      <c r="B716">
        <f>--(SUMPRODUCT((Data!$C$2:$C$53="K12C")*((Data!$A$2:$A$53 - Settings!$B$4/24) &lt;= A716)*((Data!$B$2:$B$53 + Settings!$B$4/24) &gt; A716))&gt;0)</f>
        <v>1</v>
      </c>
      <c r="C716">
        <f>--(SUMPRODUCT((Data!$C$2:$C$53="K12A")*((Data!$A$2:$A$53 - Settings!$B$4/24) &lt;= A716)*((Data!$B$2:$B$53 + Settings!$B$4/24) &gt; A716))&gt;0)</f>
        <v>1</v>
      </c>
      <c r="D716">
        <f>--(SUMPRODUCT((Data!$C$2:$C$53="K12")*((Data!$A$2:$A$53 - Settings!$B$4/24) &lt;= A716)*((Data!$B$2:$B$53 + Settings!$B$4/24) &gt; A716))&gt;0)</f>
        <v>1</v>
      </c>
      <c r="E716">
        <f>--(SUMPRODUCT((Data!$C$2:$C$53="K12B")*((Data!$A$2:$A$53 - Settings!$B$4/24) &lt;= A716)*((Data!$B$2:$B$53 + Settings!$B$4/24) &gt; A716))&gt;0)</f>
        <v>0</v>
      </c>
      <c r="F716">
        <f>--(SUMPRODUCT((Data!$C$2:$C$53="TT2")*((Data!$A$2:$A$53 - Settings!$B$4/24) &lt;= A716)*((Data!$B$2:$B$53 + Settings!$B$4/24) &gt; A716))&gt;0)</f>
        <v>1</v>
      </c>
    </row>
    <row r="717" spans="1:6" ht="15.6" x14ac:dyDescent="0.3">
      <c r="A717" s="1">
        <v>45961.792013888888</v>
      </c>
      <c r="B717">
        <f>--(SUMPRODUCT((Data!$C$2:$C$53="K12C")*((Data!$A$2:$A$53 - Settings!$B$4/24) &lt;= A717)*((Data!$B$2:$B$53 + Settings!$B$4/24) &gt; A717))&gt;0)</f>
        <v>1</v>
      </c>
      <c r="C717">
        <f>--(SUMPRODUCT((Data!$C$2:$C$53="K12A")*((Data!$A$2:$A$53 - Settings!$B$4/24) &lt;= A717)*((Data!$B$2:$B$53 + Settings!$B$4/24) &gt; A717))&gt;0)</f>
        <v>1</v>
      </c>
      <c r="D717">
        <f>--(SUMPRODUCT((Data!$C$2:$C$53="K12")*((Data!$A$2:$A$53 - Settings!$B$4/24) &lt;= A717)*((Data!$B$2:$B$53 + Settings!$B$4/24) &gt; A717))&gt;0)</f>
        <v>1</v>
      </c>
      <c r="E717">
        <f>--(SUMPRODUCT((Data!$C$2:$C$53="K12B")*((Data!$A$2:$A$53 - Settings!$B$4/24) &lt;= A717)*((Data!$B$2:$B$53 + Settings!$B$4/24) &gt; A717))&gt;0)</f>
        <v>0</v>
      </c>
      <c r="F717">
        <f>--(SUMPRODUCT((Data!$C$2:$C$53="TT2")*((Data!$A$2:$A$53 - Settings!$B$4/24) &lt;= A717)*((Data!$B$2:$B$53 + Settings!$B$4/24) &gt; A717))&gt;0)</f>
        <v>1</v>
      </c>
    </row>
    <row r="718" spans="1:6" ht="15.6" x14ac:dyDescent="0.3">
      <c r="A718" s="1">
        <v>45961.833680555559</v>
      </c>
      <c r="B718">
        <f>--(SUMPRODUCT((Data!$C$2:$C$53="K12C")*((Data!$A$2:$A$53 - Settings!$B$4/24) &lt;= A718)*((Data!$B$2:$B$53 + Settings!$B$4/24) &gt; A718))&gt;0)</f>
        <v>1</v>
      </c>
      <c r="C718">
        <f>--(SUMPRODUCT((Data!$C$2:$C$53="K12A")*((Data!$A$2:$A$53 - Settings!$B$4/24) &lt;= A718)*((Data!$B$2:$B$53 + Settings!$B$4/24) &gt; A718))&gt;0)</f>
        <v>1</v>
      </c>
      <c r="D718">
        <f>--(SUMPRODUCT((Data!$C$2:$C$53="K12")*((Data!$A$2:$A$53 - Settings!$B$4/24) &lt;= A718)*((Data!$B$2:$B$53 + Settings!$B$4/24) &gt; A718))&gt;0)</f>
        <v>1</v>
      </c>
      <c r="E718">
        <f>--(SUMPRODUCT((Data!$C$2:$C$53="K12B")*((Data!$A$2:$A$53 - Settings!$B$4/24) &lt;= A718)*((Data!$B$2:$B$53 + Settings!$B$4/24) &gt; A718))&gt;0)</f>
        <v>0</v>
      </c>
      <c r="F718">
        <f>--(SUMPRODUCT((Data!$C$2:$C$53="TT2")*((Data!$A$2:$A$53 - Settings!$B$4/24) &lt;= A718)*((Data!$B$2:$B$53 + Settings!$B$4/24) &gt; A718))&gt;0)</f>
        <v>1</v>
      </c>
    </row>
    <row r="719" spans="1:6" ht="15.6" x14ac:dyDescent="0.3">
      <c r="A719" s="1">
        <v>45961.875347222223</v>
      </c>
      <c r="B719">
        <f>--(SUMPRODUCT((Data!$C$2:$C$53="K12C")*((Data!$A$2:$A$53 - Settings!$B$4/24) &lt;= A719)*((Data!$B$2:$B$53 + Settings!$B$4/24) &gt; A719))&gt;0)</f>
        <v>1</v>
      </c>
      <c r="C719">
        <f>--(SUMPRODUCT((Data!$C$2:$C$53="K12A")*((Data!$A$2:$A$53 - Settings!$B$4/24) &lt;= A719)*((Data!$B$2:$B$53 + Settings!$B$4/24) &gt; A719))&gt;0)</f>
        <v>1</v>
      </c>
      <c r="D719">
        <f>--(SUMPRODUCT((Data!$C$2:$C$53="K12")*((Data!$A$2:$A$53 - Settings!$B$4/24) &lt;= A719)*((Data!$B$2:$B$53 + Settings!$B$4/24) &gt; A719))&gt;0)</f>
        <v>1</v>
      </c>
      <c r="E719">
        <f>--(SUMPRODUCT((Data!$C$2:$C$53="K12B")*((Data!$A$2:$A$53 - Settings!$B$4/24) &lt;= A719)*((Data!$B$2:$B$53 + Settings!$B$4/24) &gt; A719))&gt;0)</f>
        <v>0</v>
      </c>
      <c r="F719">
        <f>--(SUMPRODUCT((Data!$C$2:$C$53="TT2")*((Data!$A$2:$A$53 - Settings!$B$4/24) &lt;= A719)*((Data!$B$2:$B$53 + Settings!$B$4/24) &gt; A719))&gt;0)</f>
        <v>1</v>
      </c>
    </row>
    <row r="720" spans="1:6" ht="15.6" x14ac:dyDescent="0.3">
      <c r="A720" s="1">
        <v>45961.917013888888</v>
      </c>
      <c r="B720">
        <f>--(SUMPRODUCT((Data!$C$2:$C$53="K12C")*((Data!$A$2:$A$53 - Settings!$B$4/24) &lt;= A720)*((Data!$B$2:$B$53 + Settings!$B$4/24) &gt; A720))&gt;0)</f>
        <v>1</v>
      </c>
      <c r="C720">
        <f>--(SUMPRODUCT((Data!$C$2:$C$53="K12A")*((Data!$A$2:$A$53 - Settings!$B$4/24) &lt;= A720)*((Data!$B$2:$B$53 + Settings!$B$4/24) &gt; A720))&gt;0)</f>
        <v>1</v>
      </c>
      <c r="D720">
        <f>--(SUMPRODUCT((Data!$C$2:$C$53="K12")*((Data!$A$2:$A$53 - Settings!$B$4/24) &lt;= A720)*((Data!$B$2:$B$53 + Settings!$B$4/24) &gt; A720))&gt;0)</f>
        <v>1</v>
      </c>
      <c r="E720">
        <f>--(SUMPRODUCT((Data!$C$2:$C$53="K12B")*((Data!$A$2:$A$53 - Settings!$B$4/24) &lt;= A720)*((Data!$B$2:$B$53 + Settings!$B$4/24) &gt; A720))&gt;0)</f>
        <v>0</v>
      </c>
      <c r="F720">
        <f>--(SUMPRODUCT((Data!$C$2:$C$53="TT2")*((Data!$A$2:$A$53 - Settings!$B$4/24) &lt;= A720)*((Data!$B$2:$B$53 + Settings!$B$4/24) &gt; A720))&gt;0)</f>
        <v>1</v>
      </c>
    </row>
    <row r="721" spans="1:6" ht="15.6" x14ac:dyDescent="0.3">
      <c r="A721" s="1">
        <v>45961.958680555559</v>
      </c>
      <c r="B721">
        <f>--(SUMPRODUCT((Data!$C$2:$C$53="K12C")*((Data!$A$2:$A$53 - Settings!$B$4/24) &lt;= A721)*((Data!$B$2:$B$53 + Settings!$B$4/24) &gt; A721))&gt;0)</f>
        <v>1</v>
      </c>
      <c r="C721">
        <f>--(SUMPRODUCT((Data!$C$2:$C$53="K12A")*((Data!$A$2:$A$53 - Settings!$B$4/24) &lt;= A721)*((Data!$B$2:$B$53 + Settings!$B$4/24) &gt; A721))&gt;0)</f>
        <v>1</v>
      </c>
      <c r="D721">
        <f>--(SUMPRODUCT((Data!$C$2:$C$53="K12")*((Data!$A$2:$A$53 - Settings!$B$4/24) &lt;= A721)*((Data!$B$2:$B$53 + Settings!$B$4/24) &gt; A721))&gt;0)</f>
        <v>1</v>
      </c>
      <c r="E721">
        <f>--(SUMPRODUCT((Data!$C$2:$C$53="K12B")*((Data!$A$2:$A$53 - Settings!$B$4/24) &lt;= A721)*((Data!$B$2:$B$53 + Settings!$B$4/24) &gt; A721))&gt;0)</f>
        <v>0</v>
      </c>
      <c r="F721">
        <f>--(SUMPRODUCT((Data!$C$2:$C$53="TT2")*((Data!$A$2:$A$53 - Settings!$B$4/24) &lt;= A721)*((Data!$B$2:$B$53 + Settings!$B$4/24) &gt; A721))&gt;0)</f>
        <v>1</v>
      </c>
    </row>
    <row r="722" spans="1:6" ht="15.6" x14ac:dyDescent="0.3">
      <c r="A722" s="1">
        <v>45962.000347222223</v>
      </c>
      <c r="B722">
        <f>--(SUMPRODUCT((Data!$C$2:$C$53="K12C")*((Data!$A$2:$A$53 - Settings!$B$4/24) &lt;= A722)*((Data!$B$2:$B$53 + Settings!$B$4/24) &gt; A722))&gt;0)</f>
        <v>1</v>
      </c>
      <c r="C722">
        <f>--(SUMPRODUCT((Data!$C$2:$C$53="K12A")*((Data!$A$2:$A$53 - Settings!$B$4/24) &lt;= A722)*((Data!$B$2:$B$53 + Settings!$B$4/24) &gt; A722))&gt;0)</f>
        <v>1</v>
      </c>
      <c r="D722">
        <f>--(SUMPRODUCT((Data!$C$2:$C$53="K12")*((Data!$A$2:$A$53 - Settings!$B$4/24) &lt;= A722)*((Data!$B$2:$B$53 + Settings!$B$4/24) &gt; A722))&gt;0)</f>
        <v>1</v>
      </c>
      <c r="E722">
        <f>--(SUMPRODUCT((Data!$C$2:$C$53="K12B")*((Data!$A$2:$A$53 - Settings!$B$4/24) &lt;= A722)*((Data!$B$2:$B$53 + Settings!$B$4/24) &gt; A722))&gt;0)</f>
        <v>0</v>
      </c>
      <c r="F722">
        <f>--(SUMPRODUCT((Data!$C$2:$C$53="TT2")*((Data!$A$2:$A$53 - Settings!$B$4/24) &lt;= A722)*((Data!$B$2:$B$53 + Settings!$B$4/24) &gt; A722))&gt;0)</f>
        <v>1</v>
      </c>
    </row>
    <row r="723" spans="1:6" ht="15.6" x14ac:dyDescent="0.3">
      <c r="A723" s="1">
        <v>45962.042013888888</v>
      </c>
      <c r="B723">
        <f>--(SUMPRODUCT((Data!$C$2:$C$53="K12C")*((Data!$A$2:$A$53 - Settings!$B$4/24) &lt;= A723)*((Data!$B$2:$B$53 + Settings!$B$4/24) &gt; A723))&gt;0)</f>
        <v>1</v>
      </c>
      <c r="C723">
        <f>--(SUMPRODUCT((Data!$C$2:$C$53="K12A")*((Data!$A$2:$A$53 - Settings!$B$4/24) &lt;= A723)*((Data!$B$2:$B$53 + Settings!$B$4/24) &gt; A723))&gt;0)</f>
        <v>1</v>
      </c>
      <c r="D723">
        <f>--(SUMPRODUCT((Data!$C$2:$C$53="K12")*((Data!$A$2:$A$53 - Settings!$B$4/24) &lt;= A723)*((Data!$B$2:$B$53 + Settings!$B$4/24) &gt; A723))&gt;0)</f>
        <v>1</v>
      </c>
      <c r="E723">
        <f>--(SUMPRODUCT((Data!$C$2:$C$53="K12B")*((Data!$A$2:$A$53 - Settings!$B$4/24) &lt;= A723)*((Data!$B$2:$B$53 + Settings!$B$4/24) &gt; A723))&gt;0)</f>
        <v>0</v>
      </c>
      <c r="F723">
        <f>--(SUMPRODUCT((Data!$C$2:$C$53="TT2")*((Data!$A$2:$A$53 - Settings!$B$4/24) &lt;= A723)*((Data!$B$2:$B$53 + Settings!$B$4/24) &gt; A723))&gt;0)</f>
        <v>1</v>
      </c>
    </row>
    <row r="724" spans="1:6" ht="15.6" x14ac:dyDescent="0.3">
      <c r="A724" s="1">
        <v>45962.083680555559</v>
      </c>
      <c r="B724">
        <f>--(SUMPRODUCT((Data!$C$2:$C$53="K12C")*((Data!$A$2:$A$53 - Settings!$B$4/24) &lt;= A724)*((Data!$B$2:$B$53 + Settings!$B$4/24) &gt; A724))&gt;0)</f>
        <v>1</v>
      </c>
      <c r="C724">
        <f>--(SUMPRODUCT((Data!$C$2:$C$53="K12A")*((Data!$A$2:$A$53 - Settings!$B$4/24) &lt;= A724)*((Data!$B$2:$B$53 + Settings!$B$4/24) &gt; A724))&gt;0)</f>
        <v>1</v>
      </c>
      <c r="D724">
        <f>--(SUMPRODUCT((Data!$C$2:$C$53="K12")*((Data!$A$2:$A$53 - Settings!$B$4/24) &lt;= A724)*((Data!$B$2:$B$53 + Settings!$B$4/24) &gt; A724))&gt;0)</f>
        <v>1</v>
      </c>
      <c r="E724">
        <f>--(SUMPRODUCT((Data!$C$2:$C$53="K12B")*((Data!$A$2:$A$53 - Settings!$B$4/24) &lt;= A724)*((Data!$B$2:$B$53 + Settings!$B$4/24) &gt; A724))&gt;0)</f>
        <v>0</v>
      </c>
      <c r="F724">
        <f>--(SUMPRODUCT((Data!$C$2:$C$53="TT2")*((Data!$A$2:$A$53 - Settings!$B$4/24) &lt;= A724)*((Data!$B$2:$B$53 + Settings!$B$4/24) &gt; A724))&gt;0)</f>
        <v>1</v>
      </c>
    </row>
    <row r="725" spans="1:6" ht="15.6" x14ac:dyDescent="0.3">
      <c r="A725" s="1">
        <v>45962.125347222223</v>
      </c>
      <c r="B725">
        <f>--(SUMPRODUCT((Data!$C$2:$C$53="K12C")*((Data!$A$2:$A$53 - Settings!$B$4/24) &lt;= A725)*((Data!$B$2:$B$53 + Settings!$B$4/24) &gt; A725))&gt;0)</f>
        <v>1</v>
      </c>
      <c r="C725">
        <f>--(SUMPRODUCT((Data!$C$2:$C$53="K12A")*((Data!$A$2:$A$53 - Settings!$B$4/24) &lt;= A725)*((Data!$B$2:$B$53 + Settings!$B$4/24) &gt; A725))&gt;0)</f>
        <v>1</v>
      </c>
      <c r="D725">
        <f>--(SUMPRODUCT((Data!$C$2:$C$53="K12")*((Data!$A$2:$A$53 - Settings!$B$4/24) &lt;= A725)*((Data!$B$2:$B$53 + Settings!$B$4/24) &gt; A725))&gt;0)</f>
        <v>1</v>
      </c>
      <c r="E725">
        <f>--(SUMPRODUCT((Data!$C$2:$C$53="K12B")*((Data!$A$2:$A$53 - Settings!$B$4/24) &lt;= A725)*((Data!$B$2:$B$53 + Settings!$B$4/24) &gt; A725))&gt;0)</f>
        <v>0</v>
      </c>
      <c r="F725">
        <f>--(SUMPRODUCT((Data!$C$2:$C$53="TT2")*((Data!$A$2:$A$53 - Settings!$B$4/24) &lt;= A725)*((Data!$B$2:$B$53 + Settings!$B$4/24) &gt; A725))&gt;0)</f>
        <v>1</v>
      </c>
    </row>
    <row r="726" spans="1:6" ht="15.6" x14ac:dyDescent="0.3">
      <c r="A726" s="1">
        <v>45962.167013888888</v>
      </c>
      <c r="B726">
        <f>--(SUMPRODUCT((Data!$C$2:$C$53="K12C")*((Data!$A$2:$A$53 - Settings!$B$4/24) &lt;= A726)*((Data!$B$2:$B$53 + Settings!$B$4/24) &gt; A726))&gt;0)</f>
        <v>1</v>
      </c>
      <c r="C726">
        <f>--(SUMPRODUCT((Data!$C$2:$C$53="K12A")*((Data!$A$2:$A$53 - Settings!$B$4/24) &lt;= A726)*((Data!$B$2:$B$53 + Settings!$B$4/24) &gt; A726))&gt;0)</f>
        <v>1</v>
      </c>
      <c r="D726">
        <f>--(SUMPRODUCT((Data!$C$2:$C$53="K12")*((Data!$A$2:$A$53 - Settings!$B$4/24) &lt;= A726)*((Data!$B$2:$B$53 + Settings!$B$4/24) &gt; A726))&gt;0)</f>
        <v>1</v>
      </c>
      <c r="E726">
        <f>--(SUMPRODUCT((Data!$C$2:$C$53="K12B")*((Data!$A$2:$A$53 - Settings!$B$4/24) &lt;= A726)*((Data!$B$2:$B$53 + Settings!$B$4/24) &gt; A726))&gt;0)</f>
        <v>0</v>
      </c>
      <c r="F726">
        <f>--(SUMPRODUCT((Data!$C$2:$C$53="TT2")*((Data!$A$2:$A$53 - Settings!$B$4/24) &lt;= A726)*((Data!$B$2:$B$53 + Settings!$B$4/24) &gt; A726))&gt;0)</f>
        <v>1</v>
      </c>
    </row>
    <row r="727" spans="1:6" ht="15.6" x14ac:dyDescent="0.3">
      <c r="A727" s="1">
        <v>45962.208680555559</v>
      </c>
      <c r="B727">
        <f>--(SUMPRODUCT((Data!$C$2:$C$53="K12C")*((Data!$A$2:$A$53 - Settings!$B$4/24) &lt;= A727)*((Data!$B$2:$B$53 + Settings!$B$4/24) &gt; A727))&gt;0)</f>
        <v>1</v>
      </c>
      <c r="C727">
        <f>--(SUMPRODUCT((Data!$C$2:$C$53="K12A")*((Data!$A$2:$A$53 - Settings!$B$4/24) &lt;= A727)*((Data!$B$2:$B$53 + Settings!$B$4/24) &gt; A727))&gt;0)</f>
        <v>1</v>
      </c>
      <c r="D727">
        <f>--(SUMPRODUCT((Data!$C$2:$C$53="K12")*((Data!$A$2:$A$53 - Settings!$B$4/24) &lt;= A727)*((Data!$B$2:$B$53 + Settings!$B$4/24) &gt; A727))&gt;0)</f>
        <v>1</v>
      </c>
      <c r="E727">
        <f>--(SUMPRODUCT((Data!$C$2:$C$53="K12B")*((Data!$A$2:$A$53 - Settings!$B$4/24) &lt;= A727)*((Data!$B$2:$B$53 + Settings!$B$4/24) &gt; A727))&gt;0)</f>
        <v>0</v>
      </c>
      <c r="F727">
        <f>--(SUMPRODUCT((Data!$C$2:$C$53="TT2")*((Data!$A$2:$A$53 - Settings!$B$4/24) &lt;= A727)*((Data!$B$2:$B$53 + Settings!$B$4/24) &gt; A727))&gt;0)</f>
        <v>1</v>
      </c>
    </row>
    <row r="728" spans="1:6" ht="15.6" x14ac:dyDescent="0.3">
      <c r="A728" s="1">
        <v>45962.250347222223</v>
      </c>
      <c r="B728">
        <f>--(SUMPRODUCT((Data!$C$2:$C$53="K12C")*((Data!$A$2:$A$53 - Settings!$B$4/24) &lt;= A728)*((Data!$B$2:$B$53 + Settings!$B$4/24) &gt; A728))&gt;0)</f>
        <v>1</v>
      </c>
      <c r="C728">
        <f>--(SUMPRODUCT((Data!$C$2:$C$53="K12A")*((Data!$A$2:$A$53 - Settings!$B$4/24) &lt;= A728)*((Data!$B$2:$B$53 + Settings!$B$4/24) &gt; A728))&gt;0)</f>
        <v>1</v>
      </c>
      <c r="D728">
        <f>--(SUMPRODUCT((Data!$C$2:$C$53="K12")*((Data!$A$2:$A$53 - Settings!$B$4/24) &lt;= A728)*((Data!$B$2:$B$53 + Settings!$B$4/24) &gt; A728))&gt;0)</f>
        <v>1</v>
      </c>
      <c r="E728">
        <f>--(SUMPRODUCT((Data!$C$2:$C$53="K12B")*((Data!$A$2:$A$53 - Settings!$B$4/24) &lt;= A728)*((Data!$B$2:$B$53 + Settings!$B$4/24) &gt; A728))&gt;0)</f>
        <v>0</v>
      </c>
      <c r="F728">
        <f>--(SUMPRODUCT((Data!$C$2:$C$53="TT2")*((Data!$A$2:$A$53 - Settings!$B$4/24) &lt;= A728)*((Data!$B$2:$B$53 + Settings!$B$4/24) &gt; A728))&gt;0)</f>
        <v>1</v>
      </c>
    </row>
    <row r="729" spans="1:6" ht="15.6" x14ac:dyDescent="0.3">
      <c r="A729" s="1">
        <v>45962.292013888888</v>
      </c>
      <c r="B729">
        <f>--(SUMPRODUCT((Data!$C$2:$C$53="K12C")*((Data!$A$2:$A$53 - Settings!$B$4/24) &lt;= A729)*((Data!$B$2:$B$53 + Settings!$B$4/24) &gt; A729))&gt;0)</f>
        <v>1</v>
      </c>
      <c r="C729">
        <f>--(SUMPRODUCT((Data!$C$2:$C$53="K12A")*((Data!$A$2:$A$53 - Settings!$B$4/24) &lt;= A729)*((Data!$B$2:$B$53 + Settings!$B$4/24) &gt; A729))&gt;0)</f>
        <v>1</v>
      </c>
      <c r="D729">
        <f>--(SUMPRODUCT((Data!$C$2:$C$53="K12")*((Data!$A$2:$A$53 - Settings!$B$4/24) &lt;= A729)*((Data!$B$2:$B$53 + Settings!$B$4/24) &gt; A729))&gt;0)</f>
        <v>1</v>
      </c>
      <c r="E729">
        <f>--(SUMPRODUCT((Data!$C$2:$C$53="K12B")*((Data!$A$2:$A$53 - Settings!$B$4/24) &lt;= A729)*((Data!$B$2:$B$53 + Settings!$B$4/24) &gt; A729))&gt;0)</f>
        <v>0</v>
      </c>
      <c r="F729">
        <f>--(SUMPRODUCT((Data!$C$2:$C$53="TT2")*((Data!$A$2:$A$53 - Settings!$B$4/24) &lt;= A729)*((Data!$B$2:$B$53 + Settings!$B$4/24) &gt; A729))&gt;0)</f>
        <v>1</v>
      </c>
    </row>
    <row r="730" spans="1:6" ht="15.6" x14ac:dyDescent="0.3">
      <c r="A730" s="1">
        <v>45962.333680555559</v>
      </c>
      <c r="B730">
        <f>--(SUMPRODUCT((Data!$C$2:$C$53="K12C")*((Data!$A$2:$A$53 - Settings!$B$4/24) &lt;= A730)*((Data!$B$2:$B$53 + Settings!$B$4/24) &gt; A730))&gt;0)</f>
        <v>1</v>
      </c>
      <c r="C730">
        <f>--(SUMPRODUCT((Data!$C$2:$C$53="K12A")*((Data!$A$2:$A$53 - Settings!$B$4/24) &lt;= A730)*((Data!$B$2:$B$53 + Settings!$B$4/24) &gt; A730))&gt;0)</f>
        <v>1</v>
      </c>
      <c r="D730">
        <f>--(SUMPRODUCT((Data!$C$2:$C$53="K12")*((Data!$A$2:$A$53 - Settings!$B$4/24) &lt;= A730)*((Data!$B$2:$B$53 + Settings!$B$4/24) &gt; A730))&gt;0)</f>
        <v>1</v>
      </c>
      <c r="E730">
        <f>--(SUMPRODUCT((Data!$C$2:$C$53="K12B")*((Data!$A$2:$A$53 - Settings!$B$4/24) &lt;= A730)*((Data!$B$2:$B$53 + Settings!$B$4/24) &gt; A730))&gt;0)</f>
        <v>0</v>
      </c>
      <c r="F730">
        <f>--(SUMPRODUCT((Data!$C$2:$C$53="TT2")*((Data!$A$2:$A$53 - Settings!$B$4/24) &lt;= A730)*((Data!$B$2:$B$53 + Settings!$B$4/24) &gt; A730))&gt;0)</f>
        <v>1</v>
      </c>
    </row>
    <row r="731" spans="1:6" ht="15.6" x14ac:dyDescent="0.3">
      <c r="A731" s="1">
        <v>45962.375347222223</v>
      </c>
      <c r="B731">
        <f>--(SUMPRODUCT((Data!$C$2:$C$53="K12C")*((Data!$A$2:$A$53 - Settings!$B$4/24) &lt;= A731)*((Data!$B$2:$B$53 + Settings!$B$4/24) &gt; A731))&gt;0)</f>
        <v>1</v>
      </c>
      <c r="C731">
        <f>--(SUMPRODUCT((Data!$C$2:$C$53="K12A")*((Data!$A$2:$A$53 - Settings!$B$4/24) &lt;= A731)*((Data!$B$2:$B$53 + Settings!$B$4/24) &gt; A731))&gt;0)</f>
        <v>1</v>
      </c>
      <c r="D731">
        <f>--(SUMPRODUCT((Data!$C$2:$C$53="K12")*((Data!$A$2:$A$53 - Settings!$B$4/24) &lt;= A731)*((Data!$B$2:$B$53 + Settings!$B$4/24) &gt; A731))&gt;0)</f>
        <v>1</v>
      </c>
      <c r="E731">
        <f>--(SUMPRODUCT((Data!$C$2:$C$53="K12B")*((Data!$A$2:$A$53 - Settings!$B$4/24) &lt;= A731)*((Data!$B$2:$B$53 + Settings!$B$4/24) &gt; A731))&gt;0)</f>
        <v>0</v>
      </c>
      <c r="F731">
        <f>--(SUMPRODUCT((Data!$C$2:$C$53="TT2")*((Data!$A$2:$A$53 - Settings!$B$4/24) &lt;= A731)*((Data!$B$2:$B$53 + Settings!$B$4/24) &gt; A731))&gt;0)</f>
        <v>1</v>
      </c>
    </row>
    <row r="732" spans="1:6" ht="15.6" x14ac:dyDescent="0.3">
      <c r="A732" s="1">
        <v>45962.417013888888</v>
      </c>
      <c r="B732">
        <f>--(SUMPRODUCT((Data!$C$2:$C$53="K12C")*((Data!$A$2:$A$53 - Settings!$B$4/24) &lt;= A732)*((Data!$B$2:$B$53 + Settings!$B$4/24) &gt; A732))&gt;0)</f>
        <v>1</v>
      </c>
      <c r="C732">
        <f>--(SUMPRODUCT((Data!$C$2:$C$53="K12A")*((Data!$A$2:$A$53 - Settings!$B$4/24) &lt;= A732)*((Data!$B$2:$B$53 + Settings!$B$4/24) &gt; A732))&gt;0)</f>
        <v>1</v>
      </c>
      <c r="D732">
        <f>--(SUMPRODUCT((Data!$C$2:$C$53="K12")*((Data!$A$2:$A$53 - Settings!$B$4/24) &lt;= A732)*((Data!$B$2:$B$53 + Settings!$B$4/24) &gt; A732))&gt;0)</f>
        <v>1</v>
      </c>
      <c r="E732">
        <f>--(SUMPRODUCT((Data!$C$2:$C$53="K12B")*((Data!$A$2:$A$53 - Settings!$B$4/24) &lt;= A732)*((Data!$B$2:$B$53 + Settings!$B$4/24) &gt; A732))&gt;0)</f>
        <v>0</v>
      </c>
      <c r="F732">
        <f>--(SUMPRODUCT((Data!$C$2:$C$53="TT2")*((Data!$A$2:$A$53 - Settings!$B$4/24) &lt;= A732)*((Data!$B$2:$B$53 + Settings!$B$4/24) &gt; A732))&gt;0)</f>
        <v>1</v>
      </c>
    </row>
    <row r="733" spans="1:6" ht="15.6" x14ac:dyDescent="0.3">
      <c r="A733" s="1">
        <v>45962.458680555559</v>
      </c>
      <c r="B733">
        <f>--(SUMPRODUCT((Data!$C$2:$C$53="K12C")*((Data!$A$2:$A$53 - Settings!$B$4/24) &lt;= A733)*((Data!$B$2:$B$53 + Settings!$B$4/24) &gt; A733))&gt;0)</f>
        <v>1</v>
      </c>
      <c r="C733">
        <f>--(SUMPRODUCT((Data!$C$2:$C$53="K12A")*((Data!$A$2:$A$53 - Settings!$B$4/24) &lt;= A733)*((Data!$B$2:$B$53 + Settings!$B$4/24) &gt; A733))&gt;0)</f>
        <v>1</v>
      </c>
      <c r="D733">
        <f>--(SUMPRODUCT((Data!$C$2:$C$53="K12")*((Data!$A$2:$A$53 - Settings!$B$4/24) &lt;= A733)*((Data!$B$2:$B$53 + Settings!$B$4/24) &gt; A733))&gt;0)</f>
        <v>1</v>
      </c>
      <c r="E733">
        <f>--(SUMPRODUCT((Data!$C$2:$C$53="K12B")*((Data!$A$2:$A$53 - Settings!$B$4/24) &lt;= A733)*((Data!$B$2:$B$53 + Settings!$B$4/24) &gt; A733))&gt;0)</f>
        <v>0</v>
      </c>
      <c r="F733">
        <f>--(SUMPRODUCT((Data!$C$2:$C$53="TT2")*((Data!$A$2:$A$53 - Settings!$B$4/24) &lt;= A733)*((Data!$B$2:$B$53 + Settings!$B$4/24) &gt; A733))&gt;0)</f>
        <v>1</v>
      </c>
    </row>
    <row r="734" spans="1:6" ht="15.6" x14ac:dyDescent="0.3">
      <c r="A734" s="1">
        <v>45962.500347222223</v>
      </c>
      <c r="B734">
        <f>--(SUMPRODUCT((Data!$C$2:$C$53="K12C")*((Data!$A$2:$A$53 - Settings!$B$4/24) &lt;= A734)*((Data!$B$2:$B$53 + Settings!$B$4/24) &gt; A734))&gt;0)</f>
        <v>1</v>
      </c>
      <c r="C734">
        <f>--(SUMPRODUCT((Data!$C$2:$C$53="K12A")*((Data!$A$2:$A$53 - Settings!$B$4/24) &lt;= A734)*((Data!$B$2:$B$53 + Settings!$B$4/24) &gt; A734))&gt;0)</f>
        <v>1</v>
      </c>
      <c r="D734">
        <f>--(SUMPRODUCT((Data!$C$2:$C$53="K12")*((Data!$A$2:$A$53 - Settings!$B$4/24) &lt;= A734)*((Data!$B$2:$B$53 + Settings!$B$4/24) &gt; A734))&gt;0)</f>
        <v>1</v>
      </c>
      <c r="E734">
        <f>--(SUMPRODUCT((Data!$C$2:$C$53="K12B")*((Data!$A$2:$A$53 - Settings!$B$4/24) &lt;= A734)*((Data!$B$2:$B$53 + Settings!$B$4/24) &gt; A734))&gt;0)</f>
        <v>0</v>
      </c>
      <c r="F734">
        <f>--(SUMPRODUCT((Data!$C$2:$C$53="TT2")*((Data!$A$2:$A$53 - Settings!$B$4/24) &lt;= A734)*((Data!$B$2:$B$53 + Settings!$B$4/24) &gt; A734))&gt;0)</f>
        <v>1</v>
      </c>
    </row>
    <row r="735" spans="1:6" ht="15.6" x14ac:dyDescent="0.3">
      <c r="A735" s="1">
        <v>45962.542013888888</v>
      </c>
      <c r="B735">
        <f>--(SUMPRODUCT((Data!$C$2:$C$53="K12C")*((Data!$A$2:$A$53 - Settings!$B$4/24) &lt;= A735)*((Data!$B$2:$B$53 + Settings!$B$4/24) &gt; A735))&gt;0)</f>
        <v>1</v>
      </c>
      <c r="C735">
        <f>--(SUMPRODUCT((Data!$C$2:$C$53="K12A")*((Data!$A$2:$A$53 - Settings!$B$4/24) &lt;= A735)*((Data!$B$2:$B$53 + Settings!$B$4/24) &gt; A735))&gt;0)</f>
        <v>1</v>
      </c>
      <c r="D735">
        <f>--(SUMPRODUCT((Data!$C$2:$C$53="K12")*((Data!$A$2:$A$53 - Settings!$B$4/24) &lt;= A735)*((Data!$B$2:$B$53 + Settings!$B$4/24) &gt; A735))&gt;0)</f>
        <v>1</v>
      </c>
      <c r="E735">
        <f>--(SUMPRODUCT((Data!$C$2:$C$53="K12B")*((Data!$A$2:$A$53 - Settings!$B$4/24) &lt;= A735)*((Data!$B$2:$B$53 + Settings!$B$4/24) &gt; A735))&gt;0)</f>
        <v>0</v>
      </c>
      <c r="F735">
        <f>--(SUMPRODUCT((Data!$C$2:$C$53="TT2")*((Data!$A$2:$A$53 - Settings!$B$4/24) &lt;= A735)*((Data!$B$2:$B$53 + Settings!$B$4/24) &gt; A735))&gt;0)</f>
        <v>1</v>
      </c>
    </row>
    <row r="736" spans="1:6" ht="15.6" x14ac:dyDescent="0.3">
      <c r="A736" s="1">
        <v>45962.583680555559</v>
      </c>
      <c r="B736">
        <f>--(SUMPRODUCT((Data!$C$2:$C$53="K12C")*((Data!$A$2:$A$53 - Settings!$B$4/24) &lt;= A736)*((Data!$B$2:$B$53 + Settings!$B$4/24) &gt; A736))&gt;0)</f>
        <v>1</v>
      </c>
      <c r="C736">
        <f>--(SUMPRODUCT((Data!$C$2:$C$53="K12A")*((Data!$A$2:$A$53 - Settings!$B$4/24) &lt;= A736)*((Data!$B$2:$B$53 + Settings!$B$4/24) &gt; A736))&gt;0)</f>
        <v>0</v>
      </c>
      <c r="D736">
        <f>--(SUMPRODUCT((Data!$C$2:$C$53="K12")*((Data!$A$2:$A$53 - Settings!$B$4/24) &lt;= A736)*((Data!$B$2:$B$53 + Settings!$B$4/24) &gt; A736))&gt;0)</f>
        <v>1</v>
      </c>
      <c r="E736">
        <f>--(SUMPRODUCT((Data!$C$2:$C$53="K12B")*((Data!$A$2:$A$53 - Settings!$B$4/24) &lt;= A736)*((Data!$B$2:$B$53 + Settings!$B$4/24) &gt; A736))&gt;0)</f>
        <v>0</v>
      </c>
      <c r="F736">
        <f>--(SUMPRODUCT((Data!$C$2:$C$53="TT2")*((Data!$A$2:$A$53 - Settings!$B$4/24) &lt;= A736)*((Data!$B$2:$B$53 + Settings!$B$4/24) &gt; A736))&gt;0)</f>
        <v>1</v>
      </c>
    </row>
    <row r="737" spans="1:6" ht="15.6" x14ac:dyDescent="0.3">
      <c r="A737" s="1">
        <v>45962.625347222223</v>
      </c>
      <c r="B737">
        <f>--(SUMPRODUCT((Data!$C$2:$C$53="K12C")*((Data!$A$2:$A$53 - Settings!$B$4/24) &lt;= A737)*((Data!$B$2:$B$53 + Settings!$B$4/24) &gt; A737))&gt;0)</f>
        <v>1</v>
      </c>
      <c r="C737">
        <f>--(SUMPRODUCT((Data!$C$2:$C$53="K12A")*((Data!$A$2:$A$53 - Settings!$B$4/24) &lt;= A737)*((Data!$B$2:$B$53 + Settings!$B$4/24) &gt; A737))&gt;0)</f>
        <v>0</v>
      </c>
      <c r="D737">
        <f>--(SUMPRODUCT((Data!$C$2:$C$53="K12")*((Data!$A$2:$A$53 - Settings!$B$4/24) &lt;= A737)*((Data!$B$2:$B$53 + Settings!$B$4/24) &gt; A737))&gt;0)</f>
        <v>1</v>
      </c>
      <c r="E737">
        <f>--(SUMPRODUCT((Data!$C$2:$C$53="K12B")*((Data!$A$2:$A$53 - Settings!$B$4/24) &lt;= A737)*((Data!$B$2:$B$53 + Settings!$B$4/24) &gt; A737))&gt;0)</f>
        <v>0</v>
      </c>
      <c r="F737">
        <f>--(SUMPRODUCT((Data!$C$2:$C$53="TT2")*((Data!$A$2:$A$53 - Settings!$B$4/24) &lt;= A737)*((Data!$B$2:$B$53 + Settings!$B$4/24) &gt; A737))&gt;0)</f>
        <v>1</v>
      </c>
    </row>
    <row r="738" spans="1:6" ht="15.6" x14ac:dyDescent="0.3">
      <c r="A738" s="1">
        <v>45962.667013888888</v>
      </c>
      <c r="B738">
        <f>--(SUMPRODUCT((Data!$C$2:$C$53="K12C")*((Data!$A$2:$A$53 - Settings!$B$4/24) &lt;= A738)*((Data!$B$2:$B$53 + Settings!$B$4/24) &gt; A738))&gt;0)</f>
        <v>1</v>
      </c>
      <c r="C738">
        <f>--(SUMPRODUCT((Data!$C$2:$C$53="K12A")*((Data!$A$2:$A$53 - Settings!$B$4/24) &lt;= A738)*((Data!$B$2:$B$53 + Settings!$B$4/24) &gt; A738))&gt;0)</f>
        <v>0</v>
      </c>
      <c r="D738">
        <f>--(SUMPRODUCT((Data!$C$2:$C$53="K12")*((Data!$A$2:$A$53 - Settings!$B$4/24) &lt;= A738)*((Data!$B$2:$B$53 + Settings!$B$4/24) &gt; A738))&gt;0)</f>
        <v>1</v>
      </c>
      <c r="E738">
        <f>--(SUMPRODUCT((Data!$C$2:$C$53="K12B")*((Data!$A$2:$A$53 - Settings!$B$4/24) &lt;= A738)*((Data!$B$2:$B$53 + Settings!$B$4/24) &gt; A738))&gt;0)</f>
        <v>0</v>
      </c>
      <c r="F738">
        <f>--(SUMPRODUCT((Data!$C$2:$C$53="TT2")*((Data!$A$2:$A$53 - Settings!$B$4/24) &lt;= A738)*((Data!$B$2:$B$53 + Settings!$B$4/24) &gt; A738))&gt;0)</f>
        <v>1</v>
      </c>
    </row>
    <row r="739" spans="1:6" ht="15.6" x14ac:dyDescent="0.3">
      <c r="A739" s="1">
        <v>45962.708680555559</v>
      </c>
      <c r="B739">
        <f>--(SUMPRODUCT((Data!$C$2:$C$53="K12C")*((Data!$A$2:$A$53 - Settings!$B$4/24) &lt;= A739)*((Data!$B$2:$B$53 + Settings!$B$4/24) &gt; A739))&gt;0)</f>
        <v>1</v>
      </c>
      <c r="C739">
        <f>--(SUMPRODUCT((Data!$C$2:$C$53="K12A")*((Data!$A$2:$A$53 - Settings!$B$4/24) &lt;= A739)*((Data!$B$2:$B$53 + Settings!$B$4/24) &gt; A739))&gt;0)</f>
        <v>0</v>
      </c>
      <c r="D739">
        <f>--(SUMPRODUCT((Data!$C$2:$C$53="K12")*((Data!$A$2:$A$53 - Settings!$B$4/24) &lt;= A739)*((Data!$B$2:$B$53 + Settings!$B$4/24) &gt; A739))&gt;0)</f>
        <v>1</v>
      </c>
      <c r="E739">
        <f>--(SUMPRODUCT((Data!$C$2:$C$53="K12B")*((Data!$A$2:$A$53 - Settings!$B$4/24) &lt;= A739)*((Data!$B$2:$B$53 + Settings!$B$4/24) &gt; A739))&gt;0)</f>
        <v>0</v>
      </c>
      <c r="F739">
        <f>--(SUMPRODUCT((Data!$C$2:$C$53="TT2")*((Data!$A$2:$A$53 - Settings!$B$4/24) &lt;= A739)*((Data!$B$2:$B$53 + Settings!$B$4/24) &gt; A739))&gt;0)</f>
        <v>1</v>
      </c>
    </row>
    <row r="740" spans="1:6" ht="15.6" x14ac:dyDescent="0.3">
      <c r="A740" s="1">
        <v>45962.750347222223</v>
      </c>
      <c r="B740">
        <f>--(SUMPRODUCT((Data!$C$2:$C$53="K12C")*((Data!$A$2:$A$53 - Settings!$B$4/24) &lt;= A740)*((Data!$B$2:$B$53 + Settings!$B$4/24) &gt; A740))&gt;0)</f>
        <v>1</v>
      </c>
      <c r="C740">
        <f>--(SUMPRODUCT((Data!$C$2:$C$53="K12A")*((Data!$A$2:$A$53 - Settings!$B$4/24) &lt;= A740)*((Data!$B$2:$B$53 + Settings!$B$4/24) &gt; A740))&gt;0)</f>
        <v>0</v>
      </c>
      <c r="D740">
        <f>--(SUMPRODUCT((Data!$C$2:$C$53="K12")*((Data!$A$2:$A$53 - Settings!$B$4/24) &lt;= A740)*((Data!$B$2:$B$53 + Settings!$B$4/24) &gt; A740))&gt;0)</f>
        <v>1</v>
      </c>
      <c r="E740">
        <f>--(SUMPRODUCT((Data!$C$2:$C$53="K12B")*((Data!$A$2:$A$53 - Settings!$B$4/24) &lt;= A740)*((Data!$B$2:$B$53 + Settings!$B$4/24) &gt; A740))&gt;0)</f>
        <v>0</v>
      </c>
      <c r="F740">
        <f>--(SUMPRODUCT((Data!$C$2:$C$53="TT2")*((Data!$A$2:$A$53 - Settings!$B$4/24) &lt;= A740)*((Data!$B$2:$B$53 + Settings!$B$4/24) &gt; A740))&gt;0)</f>
        <v>1</v>
      </c>
    </row>
    <row r="741" spans="1:6" ht="15.6" x14ac:dyDescent="0.3">
      <c r="A741" s="1">
        <v>45962.792013888888</v>
      </c>
      <c r="B741">
        <f>--(SUMPRODUCT((Data!$C$2:$C$53="K12C")*((Data!$A$2:$A$53 - Settings!$B$4/24) &lt;= A741)*((Data!$B$2:$B$53 + Settings!$B$4/24) &gt; A741))&gt;0)</f>
        <v>1</v>
      </c>
      <c r="C741">
        <f>--(SUMPRODUCT((Data!$C$2:$C$53="K12A")*((Data!$A$2:$A$53 - Settings!$B$4/24) &lt;= A741)*((Data!$B$2:$B$53 + Settings!$B$4/24) &gt; A741))&gt;0)</f>
        <v>0</v>
      </c>
      <c r="D741">
        <f>--(SUMPRODUCT((Data!$C$2:$C$53="K12")*((Data!$A$2:$A$53 - Settings!$B$4/24) &lt;= A741)*((Data!$B$2:$B$53 + Settings!$B$4/24) &gt; A741))&gt;0)</f>
        <v>1</v>
      </c>
      <c r="E741">
        <f>--(SUMPRODUCT((Data!$C$2:$C$53="K12B")*((Data!$A$2:$A$53 - Settings!$B$4/24) &lt;= A741)*((Data!$B$2:$B$53 + Settings!$B$4/24) &gt; A741))&gt;0)</f>
        <v>0</v>
      </c>
      <c r="F741">
        <f>--(SUMPRODUCT((Data!$C$2:$C$53="TT2")*((Data!$A$2:$A$53 - Settings!$B$4/24) &lt;= A741)*((Data!$B$2:$B$53 + Settings!$B$4/24) &gt; A741))&gt;0)</f>
        <v>1</v>
      </c>
    </row>
    <row r="742" spans="1:6" ht="15.6" x14ac:dyDescent="0.3">
      <c r="A742" s="1">
        <v>45962.833680555559</v>
      </c>
      <c r="B742">
        <f>--(SUMPRODUCT((Data!$C$2:$C$53="K12C")*((Data!$A$2:$A$53 - Settings!$B$4/24) &lt;= A742)*((Data!$B$2:$B$53 + Settings!$B$4/24) &gt; A742))&gt;0)</f>
        <v>1</v>
      </c>
      <c r="C742">
        <f>--(SUMPRODUCT((Data!$C$2:$C$53="K12A")*((Data!$A$2:$A$53 - Settings!$B$4/24) &lt;= A742)*((Data!$B$2:$B$53 + Settings!$B$4/24) &gt; A742))&gt;0)</f>
        <v>0</v>
      </c>
      <c r="D742">
        <f>--(SUMPRODUCT((Data!$C$2:$C$53="K12")*((Data!$A$2:$A$53 - Settings!$B$4/24) &lt;= A742)*((Data!$B$2:$B$53 + Settings!$B$4/24) &gt; A742))&gt;0)</f>
        <v>1</v>
      </c>
      <c r="E742">
        <f>--(SUMPRODUCT((Data!$C$2:$C$53="K12B")*((Data!$A$2:$A$53 - Settings!$B$4/24) &lt;= A742)*((Data!$B$2:$B$53 + Settings!$B$4/24) &gt; A742))&gt;0)</f>
        <v>0</v>
      </c>
      <c r="F742">
        <f>--(SUMPRODUCT((Data!$C$2:$C$53="TT2")*((Data!$A$2:$A$53 - Settings!$B$4/24) &lt;= A742)*((Data!$B$2:$B$53 + Settings!$B$4/24) &gt; A742))&gt;0)</f>
        <v>1</v>
      </c>
    </row>
    <row r="743" spans="1:6" ht="15.6" x14ac:dyDescent="0.3">
      <c r="A743" s="1">
        <v>45962.875347222223</v>
      </c>
      <c r="B743">
        <f>--(SUMPRODUCT((Data!$C$2:$C$53="K12C")*((Data!$A$2:$A$53 - Settings!$B$4/24) &lt;= A743)*((Data!$B$2:$B$53 + Settings!$B$4/24) &gt; A743))&gt;0)</f>
        <v>1</v>
      </c>
      <c r="C743">
        <f>--(SUMPRODUCT((Data!$C$2:$C$53="K12A")*((Data!$A$2:$A$53 - Settings!$B$4/24) &lt;= A743)*((Data!$B$2:$B$53 + Settings!$B$4/24) &gt; A743))&gt;0)</f>
        <v>0</v>
      </c>
      <c r="D743">
        <f>--(SUMPRODUCT((Data!$C$2:$C$53="K12")*((Data!$A$2:$A$53 - Settings!$B$4/24) &lt;= A743)*((Data!$B$2:$B$53 + Settings!$B$4/24) &gt; A743))&gt;0)</f>
        <v>1</v>
      </c>
      <c r="E743">
        <f>--(SUMPRODUCT((Data!$C$2:$C$53="K12B")*((Data!$A$2:$A$53 - Settings!$B$4/24) &lt;= A743)*((Data!$B$2:$B$53 + Settings!$B$4/24) &gt; A743))&gt;0)</f>
        <v>0</v>
      </c>
      <c r="F743">
        <f>--(SUMPRODUCT((Data!$C$2:$C$53="TT2")*((Data!$A$2:$A$53 - Settings!$B$4/24) &lt;= A743)*((Data!$B$2:$B$53 + Settings!$B$4/24) &gt; A743))&gt;0)</f>
        <v>1</v>
      </c>
    </row>
    <row r="744" spans="1:6" ht="15.6" x14ac:dyDescent="0.3">
      <c r="A744" s="1">
        <v>45962.917013888888</v>
      </c>
      <c r="B744">
        <f>--(SUMPRODUCT((Data!$C$2:$C$53="K12C")*((Data!$A$2:$A$53 - Settings!$B$4/24) &lt;= A744)*((Data!$B$2:$B$53 + Settings!$B$4/24) &gt; A744))&gt;0)</f>
        <v>1</v>
      </c>
      <c r="C744">
        <f>--(SUMPRODUCT((Data!$C$2:$C$53="K12A")*((Data!$A$2:$A$53 - Settings!$B$4/24) &lt;= A744)*((Data!$B$2:$B$53 + Settings!$B$4/24) &gt; A744))&gt;0)</f>
        <v>0</v>
      </c>
      <c r="D744">
        <f>--(SUMPRODUCT((Data!$C$2:$C$53="K12")*((Data!$A$2:$A$53 - Settings!$B$4/24) &lt;= A744)*((Data!$B$2:$B$53 + Settings!$B$4/24) &gt; A744))&gt;0)</f>
        <v>1</v>
      </c>
      <c r="E744">
        <f>--(SUMPRODUCT((Data!$C$2:$C$53="K12B")*((Data!$A$2:$A$53 - Settings!$B$4/24) &lt;= A744)*((Data!$B$2:$B$53 + Settings!$B$4/24) &gt; A744))&gt;0)</f>
        <v>0</v>
      </c>
      <c r="F744">
        <f>--(SUMPRODUCT((Data!$C$2:$C$53="TT2")*((Data!$A$2:$A$53 - Settings!$B$4/24) &lt;= A744)*((Data!$B$2:$B$53 + Settings!$B$4/24) &gt; A744))&gt;0)</f>
        <v>1</v>
      </c>
    </row>
    <row r="745" spans="1:6" ht="15.6" x14ac:dyDescent="0.3">
      <c r="A745" s="1">
        <v>45962.958680555559</v>
      </c>
      <c r="B745">
        <f>--(SUMPRODUCT((Data!$C$2:$C$53="K12C")*((Data!$A$2:$A$53 - Settings!$B$4/24) &lt;= A745)*((Data!$B$2:$B$53 + Settings!$B$4/24) &gt; A745))&gt;0)</f>
        <v>1</v>
      </c>
      <c r="C745">
        <f>--(SUMPRODUCT((Data!$C$2:$C$53="K12A")*((Data!$A$2:$A$53 - Settings!$B$4/24) &lt;= A745)*((Data!$B$2:$B$53 + Settings!$B$4/24) &gt; A745))&gt;0)</f>
        <v>0</v>
      </c>
      <c r="D745">
        <f>--(SUMPRODUCT((Data!$C$2:$C$53="K12")*((Data!$A$2:$A$53 - Settings!$B$4/24) &lt;= A745)*((Data!$B$2:$B$53 + Settings!$B$4/24) &gt; A745))&gt;0)</f>
        <v>1</v>
      </c>
      <c r="E745">
        <f>--(SUMPRODUCT((Data!$C$2:$C$53="K12B")*((Data!$A$2:$A$53 - Settings!$B$4/24) &lt;= A745)*((Data!$B$2:$B$53 + Settings!$B$4/24) &gt; A745))&gt;0)</f>
        <v>0</v>
      </c>
      <c r="F745">
        <f>--(SUMPRODUCT((Data!$C$2:$C$53="TT2")*((Data!$A$2:$A$53 - Settings!$B$4/24) &lt;= A745)*((Data!$B$2:$B$53 + Settings!$B$4/24) &gt; A745))&gt;0)</f>
        <v>1</v>
      </c>
    </row>
    <row r="746" spans="1:6" ht="15.6" x14ac:dyDescent="0.3">
      <c r="A746" s="1">
        <v>45963.000347222223</v>
      </c>
      <c r="B746">
        <f>--(SUMPRODUCT((Data!$C$2:$C$53="K12C")*((Data!$A$2:$A$53 - Settings!$B$4/24) &lt;= A746)*((Data!$B$2:$B$53 + Settings!$B$4/24) &gt; A746))&gt;0)</f>
        <v>1</v>
      </c>
      <c r="C746">
        <f>--(SUMPRODUCT((Data!$C$2:$C$53="K12A")*((Data!$A$2:$A$53 - Settings!$B$4/24) &lt;= A746)*((Data!$B$2:$B$53 + Settings!$B$4/24) &gt; A746))&gt;0)</f>
        <v>0</v>
      </c>
      <c r="D746">
        <f>--(SUMPRODUCT((Data!$C$2:$C$53="K12")*((Data!$A$2:$A$53 - Settings!$B$4/24) &lt;= A746)*((Data!$B$2:$B$53 + Settings!$B$4/24) &gt; A746))&gt;0)</f>
        <v>1</v>
      </c>
      <c r="E746">
        <f>--(SUMPRODUCT((Data!$C$2:$C$53="K12B")*((Data!$A$2:$A$53 - Settings!$B$4/24) &lt;= A746)*((Data!$B$2:$B$53 + Settings!$B$4/24) &gt; A746))&gt;0)</f>
        <v>0</v>
      </c>
      <c r="F746">
        <f>--(SUMPRODUCT((Data!$C$2:$C$53="TT2")*((Data!$A$2:$A$53 - Settings!$B$4/24) &lt;= A746)*((Data!$B$2:$B$53 + Settings!$B$4/24) &gt; A746))&gt;0)</f>
        <v>1</v>
      </c>
    </row>
    <row r="747" spans="1:6" ht="15.6" x14ac:dyDescent="0.3">
      <c r="A747" s="1">
        <v>45963.042013888888</v>
      </c>
      <c r="B747">
        <f>--(SUMPRODUCT((Data!$C$2:$C$53="K12C")*((Data!$A$2:$A$53 - Settings!$B$4/24) &lt;= A747)*((Data!$B$2:$B$53 + Settings!$B$4/24) &gt; A747))&gt;0)</f>
        <v>1</v>
      </c>
      <c r="C747">
        <f>--(SUMPRODUCT((Data!$C$2:$C$53="K12A")*((Data!$A$2:$A$53 - Settings!$B$4/24) &lt;= A747)*((Data!$B$2:$B$53 + Settings!$B$4/24) &gt; A747))&gt;0)</f>
        <v>0</v>
      </c>
      <c r="D747">
        <f>--(SUMPRODUCT((Data!$C$2:$C$53="K12")*((Data!$A$2:$A$53 - Settings!$B$4/24) &lt;= A747)*((Data!$B$2:$B$53 + Settings!$B$4/24) &gt; A747))&gt;0)</f>
        <v>1</v>
      </c>
      <c r="E747">
        <f>--(SUMPRODUCT((Data!$C$2:$C$53="K12B")*((Data!$A$2:$A$53 - Settings!$B$4/24) &lt;= A747)*((Data!$B$2:$B$53 + Settings!$B$4/24) &gt; A747))&gt;0)</f>
        <v>0</v>
      </c>
      <c r="F747">
        <f>--(SUMPRODUCT((Data!$C$2:$C$53="TT2")*((Data!$A$2:$A$53 - Settings!$B$4/24) &lt;= A747)*((Data!$B$2:$B$53 + Settings!$B$4/24) &gt; A747))&gt;0)</f>
        <v>1</v>
      </c>
    </row>
    <row r="748" spans="1:6" ht="15.6" x14ac:dyDescent="0.3">
      <c r="A748" s="1">
        <v>45963.083680555559</v>
      </c>
      <c r="B748">
        <f>--(SUMPRODUCT((Data!$C$2:$C$53="K12C")*((Data!$A$2:$A$53 - Settings!$B$4/24) &lt;= A748)*((Data!$B$2:$B$53 + Settings!$B$4/24) &gt; A748))&gt;0)</f>
        <v>1</v>
      </c>
      <c r="C748">
        <f>--(SUMPRODUCT((Data!$C$2:$C$53="K12A")*((Data!$A$2:$A$53 - Settings!$B$4/24) &lt;= A748)*((Data!$B$2:$B$53 + Settings!$B$4/24) &gt; A748))&gt;0)</f>
        <v>0</v>
      </c>
      <c r="D748">
        <f>--(SUMPRODUCT((Data!$C$2:$C$53="K12")*((Data!$A$2:$A$53 - Settings!$B$4/24) &lt;= A748)*((Data!$B$2:$B$53 + Settings!$B$4/24) &gt; A748))&gt;0)</f>
        <v>1</v>
      </c>
      <c r="E748">
        <f>--(SUMPRODUCT((Data!$C$2:$C$53="K12B")*((Data!$A$2:$A$53 - Settings!$B$4/24) &lt;= A748)*((Data!$B$2:$B$53 + Settings!$B$4/24) &gt; A748))&gt;0)</f>
        <v>0</v>
      </c>
      <c r="F748">
        <f>--(SUMPRODUCT((Data!$C$2:$C$53="TT2")*((Data!$A$2:$A$53 - Settings!$B$4/24) &lt;= A748)*((Data!$B$2:$B$53 + Settings!$B$4/24) &gt; A748))&gt;0)</f>
        <v>1</v>
      </c>
    </row>
    <row r="749" spans="1:6" ht="15.6" x14ac:dyDescent="0.3">
      <c r="A749" s="1">
        <v>45963.125347222223</v>
      </c>
      <c r="B749">
        <f>--(SUMPRODUCT((Data!$C$2:$C$53="K12C")*((Data!$A$2:$A$53 - Settings!$B$4/24) &lt;= A749)*((Data!$B$2:$B$53 + Settings!$B$4/24) &gt; A749))&gt;0)</f>
        <v>1</v>
      </c>
      <c r="C749">
        <f>--(SUMPRODUCT((Data!$C$2:$C$53="K12A")*((Data!$A$2:$A$53 - Settings!$B$4/24) &lt;= A749)*((Data!$B$2:$B$53 + Settings!$B$4/24) &gt; A749))&gt;0)</f>
        <v>0</v>
      </c>
      <c r="D749">
        <f>--(SUMPRODUCT((Data!$C$2:$C$53="K12")*((Data!$A$2:$A$53 - Settings!$B$4/24) &lt;= A749)*((Data!$B$2:$B$53 + Settings!$B$4/24) &gt; A749))&gt;0)</f>
        <v>1</v>
      </c>
      <c r="E749">
        <f>--(SUMPRODUCT((Data!$C$2:$C$53="K12B")*((Data!$A$2:$A$53 - Settings!$B$4/24) &lt;= A749)*((Data!$B$2:$B$53 + Settings!$B$4/24) &gt; A749))&gt;0)</f>
        <v>0</v>
      </c>
      <c r="F749">
        <f>--(SUMPRODUCT((Data!$C$2:$C$53="TT2")*((Data!$A$2:$A$53 - Settings!$B$4/24) &lt;= A749)*((Data!$B$2:$B$53 + Settings!$B$4/24) &gt; A749))&gt;0)</f>
        <v>1</v>
      </c>
    </row>
    <row r="750" spans="1:6" ht="15.6" x14ac:dyDescent="0.3">
      <c r="A750" s="1">
        <v>45963.167013888888</v>
      </c>
      <c r="B750">
        <f>--(SUMPRODUCT((Data!$C$2:$C$53="K12C")*((Data!$A$2:$A$53 - Settings!$B$4/24) &lt;= A750)*((Data!$B$2:$B$53 + Settings!$B$4/24) &gt; A750))&gt;0)</f>
        <v>1</v>
      </c>
      <c r="C750">
        <f>--(SUMPRODUCT((Data!$C$2:$C$53="K12A")*((Data!$A$2:$A$53 - Settings!$B$4/24) &lt;= A750)*((Data!$B$2:$B$53 + Settings!$B$4/24) &gt; A750))&gt;0)</f>
        <v>0</v>
      </c>
      <c r="D750">
        <f>--(SUMPRODUCT((Data!$C$2:$C$53="K12")*((Data!$A$2:$A$53 - Settings!$B$4/24) &lt;= A750)*((Data!$B$2:$B$53 + Settings!$B$4/24) &gt; A750))&gt;0)</f>
        <v>1</v>
      </c>
      <c r="E750">
        <f>--(SUMPRODUCT((Data!$C$2:$C$53="K12B")*((Data!$A$2:$A$53 - Settings!$B$4/24) &lt;= A750)*((Data!$B$2:$B$53 + Settings!$B$4/24) &gt; A750))&gt;0)</f>
        <v>0</v>
      </c>
      <c r="F750">
        <f>--(SUMPRODUCT((Data!$C$2:$C$53="TT2")*((Data!$A$2:$A$53 - Settings!$B$4/24) &lt;= A750)*((Data!$B$2:$B$53 + Settings!$B$4/24) &gt; A750))&gt;0)</f>
        <v>1</v>
      </c>
    </row>
    <row r="751" spans="1:6" ht="15.6" x14ac:dyDescent="0.3">
      <c r="A751" s="1">
        <v>45963.208680555559</v>
      </c>
      <c r="B751">
        <f>--(SUMPRODUCT((Data!$C$2:$C$53="K12C")*((Data!$A$2:$A$53 - Settings!$B$4/24) &lt;= A751)*((Data!$B$2:$B$53 + Settings!$B$4/24) &gt; A751))&gt;0)</f>
        <v>1</v>
      </c>
      <c r="C751">
        <f>--(SUMPRODUCT((Data!$C$2:$C$53="K12A")*((Data!$A$2:$A$53 - Settings!$B$4/24) &lt;= A751)*((Data!$B$2:$B$53 + Settings!$B$4/24) &gt; A751))&gt;0)</f>
        <v>0</v>
      </c>
      <c r="D751">
        <f>--(SUMPRODUCT((Data!$C$2:$C$53="K12")*((Data!$A$2:$A$53 - Settings!$B$4/24) &lt;= A751)*((Data!$B$2:$B$53 + Settings!$B$4/24) &gt; A751))&gt;0)</f>
        <v>1</v>
      </c>
      <c r="E751">
        <f>--(SUMPRODUCT((Data!$C$2:$C$53="K12B")*((Data!$A$2:$A$53 - Settings!$B$4/24) &lt;= A751)*((Data!$B$2:$B$53 + Settings!$B$4/24) &gt; A751))&gt;0)</f>
        <v>0</v>
      </c>
      <c r="F751">
        <f>--(SUMPRODUCT((Data!$C$2:$C$53="TT2")*((Data!$A$2:$A$53 - Settings!$B$4/24) &lt;= A751)*((Data!$B$2:$B$53 + Settings!$B$4/24) &gt; A751))&gt;0)</f>
        <v>1</v>
      </c>
    </row>
    <row r="752" spans="1:6" ht="15.6" x14ac:dyDescent="0.3">
      <c r="A752" s="1">
        <v>45963.250347222223</v>
      </c>
      <c r="B752">
        <f>--(SUMPRODUCT((Data!$C$2:$C$53="K12C")*((Data!$A$2:$A$53 - Settings!$B$4/24) &lt;= A752)*((Data!$B$2:$B$53 + Settings!$B$4/24) &gt; A752))&gt;0)</f>
        <v>1</v>
      </c>
      <c r="C752">
        <f>--(SUMPRODUCT((Data!$C$2:$C$53="K12A")*((Data!$A$2:$A$53 - Settings!$B$4/24) &lt;= A752)*((Data!$B$2:$B$53 + Settings!$B$4/24) &gt; A752))&gt;0)</f>
        <v>0</v>
      </c>
      <c r="D752">
        <f>--(SUMPRODUCT((Data!$C$2:$C$53="K12")*((Data!$A$2:$A$53 - Settings!$B$4/24) &lt;= A752)*((Data!$B$2:$B$53 + Settings!$B$4/24) &gt; A752))&gt;0)</f>
        <v>1</v>
      </c>
      <c r="E752">
        <f>--(SUMPRODUCT((Data!$C$2:$C$53="K12B")*((Data!$A$2:$A$53 - Settings!$B$4/24) &lt;= A752)*((Data!$B$2:$B$53 + Settings!$B$4/24) &gt; A752))&gt;0)</f>
        <v>0</v>
      </c>
      <c r="F752">
        <f>--(SUMPRODUCT((Data!$C$2:$C$53="TT2")*((Data!$A$2:$A$53 - Settings!$B$4/24) &lt;= A752)*((Data!$B$2:$B$53 + Settings!$B$4/24) &gt; A752))&gt;0)</f>
        <v>1</v>
      </c>
    </row>
    <row r="753" spans="1:6" ht="15.6" x14ac:dyDescent="0.3">
      <c r="A753" s="1">
        <v>45963.292013888888</v>
      </c>
      <c r="B753">
        <f>--(SUMPRODUCT((Data!$C$2:$C$53="K12C")*((Data!$A$2:$A$53 - Settings!$B$4/24) &lt;= A753)*((Data!$B$2:$B$53 + Settings!$B$4/24) &gt; A753))&gt;0)</f>
        <v>1</v>
      </c>
      <c r="C753">
        <f>--(SUMPRODUCT((Data!$C$2:$C$53="K12A")*((Data!$A$2:$A$53 - Settings!$B$4/24) &lt;= A753)*((Data!$B$2:$B$53 + Settings!$B$4/24) &gt; A753))&gt;0)</f>
        <v>0</v>
      </c>
      <c r="D753">
        <f>--(SUMPRODUCT((Data!$C$2:$C$53="K12")*((Data!$A$2:$A$53 - Settings!$B$4/24) &lt;= A753)*((Data!$B$2:$B$53 + Settings!$B$4/24) &gt; A753))&gt;0)</f>
        <v>1</v>
      </c>
      <c r="E753">
        <f>--(SUMPRODUCT((Data!$C$2:$C$53="K12B")*((Data!$A$2:$A$53 - Settings!$B$4/24) &lt;= A753)*((Data!$B$2:$B$53 + Settings!$B$4/24) &gt; A753))&gt;0)</f>
        <v>0</v>
      </c>
      <c r="F753">
        <f>--(SUMPRODUCT((Data!$C$2:$C$53="TT2")*((Data!$A$2:$A$53 - Settings!$B$4/24) &lt;= A753)*((Data!$B$2:$B$53 + Settings!$B$4/24) &gt; A753))&gt;0)</f>
        <v>0</v>
      </c>
    </row>
    <row r="754" spans="1:6" ht="15.6" x14ac:dyDescent="0.3">
      <c r="A754" s="1">
        <v>45963.333680555559</v>
      </c>
      <c r="B754">
        <f>--(SUMPRODUCT((Data!$C$2:$C$53="K12C")*((Data!$A$2:$A$53 - Settings!$B$4/24) &lt;= A754)*((Data!$B$2:$B$53 + Settings!$B$4/24) &gt; A754))&gt;0)</f>
        <v>1</v>
      </c>
      <c r="C754">
        <f>--(SUMPRODUCT((Data!$C$2:$C$53="K12A")*((Data!$A$2:$A$53 - Settings!$B$4/24) &lt;= A754)*((Data!$B$2:$B$53 + Settings!$B$4/24) &gt; A754))&gt;0)</f>
        <v>0</v>
      </c>
      <c r="D754">
        <f>--(SUMPRODUCT((Data!$C$2:$C$53="K12")*((Data!$A$2:$A$53 - Settings!$B$4/24) &lt;= A754)*((Data!$B$2:$B$53 + Settings!$B$4/24) &gt; A754))&gt;0)</f>
        <v>1</v>
      </c>
      <c r="E754">
        <f>--(SUMPRODUCT((Data!$C$2:$C$53="K12B")*((Data!$A$2:$A$53 - Settings!$B$4/24) &lt;= A754)*((Data!$B$2:$B$53 + Settings!$B$4/24) &gt; A754))&gt;0)</f>
        <v>0</v>
      </c>
      <c r="F754">
        <f>--(SUMPRODUCT((Data!$C$2:$C$53="TT2")*((Data!$A$2:$A$53 - Settings!$B$4/24) &lt;= A754)*((Data!$B$2:$B$53 + Settings!$B$4/24) &gt; A754))&gt;0)</f>
        <v>0</v>
      </c>
    </row>
    <row r="755" spans="1:6" ht="15.6" x14ac:dyDescent="0.3">
      <c r="A755" s="1">
        <v>45963.375347222223</v>
      </c>
      <c r="B755">
        <f>--(SUMPRODUCT((Data!$C$2:$C$53="K12C")*((Data!$A$2:$A$53 - Settings!$B$4/24) &lt;= A755)*((Data!$B$2:$B$53 + Settings!$B$4/24) &gt; A755))&gt;0)</f>
        <v>1</v>
      </c>
      <c r="C755">
        <f>--(SUMPRODUCT((Data!$C$2:$C$53="K12A")*((Data!$A$2:$A$53 - Settings!$B$4/24) &lt;= A755)*((Data!$B$2:$B$53 + Settings!$B$4/24) &gt; A755))&gt;0)</f>
        <v>0</v>
      </c>
      <c r="D755">
        <f>--(SUMPRODUCT((Data!$C$2:$C$53="K12")*((Data!$A$2:$A$53 - Settings!$B$4/24) &lt;= A755)*((Data!$B$2:$B$53 + Settings!$B$4/24) &gt; A755))&gt;0)</f>
        <v>1</v>
      </c>
      <c r="E755">
        <f>--(SUMPRODUCT((Data!$C$2:$C$53="K12B")*((Data!$A$2:$A$53 - Settings!$B$4/24) &lt;= A755)*((Data!$B$2:$B$53 + Settings!$B$4/24) &gt; A755))&gt;0)</f>
        <v>0</v>
      </c>
      <c r="F755">
        <f>--(SUMPRODUCT((Data!$C$2:$C$53="TT2")*((Data!$A$2:$A$53 - Settings!$B$4/24) &lt;= A755)*((Data!$B$2:$B$53 + Settings!$B$4/24) &gt; A755))&gt;0)</f>
        <v>0</v>
      </c>
    </row>
    <row r="756" spans="1:6" ht="15.6" x14ac:dyDescent="0.3">
      <c r="A756" s="1">
        <v>45963.417013888888</v>
      </c>
      <c r="B756">
        <f>--(SUMPRODUCT((Data!$C$2:$C$53="K12C")*((Data!$A$2:$A$53 - Settings!$B$4/24) &lt;= A756)*((Data!$B$2:$B$53 + Settings!$B$4/24) &gt; A756))&gt;0)</f>
        <v>1</v>
      </c>
      <c r="C756">
        <f>--(SUMPRODUCT((Data!$C$2:$C$53="K12A")*((Data!$A$2:$A$53 - Settings!$B$4/24) &lt;= A756)*((Data!$B$2:$B$53 + Settings!$B$4/24) &gt; A756))&gt;0)</f>
        <v>0</v>
      </c>
      <c r="D756">
        <f>--(SUMPRODUCT((Data!$C$2:$C$53="K12")*((Data!$A$2:$A$53 - Settings!$B$4/24) &lt;= A756)*((Data!$B$2:$B$53 + Settings!$B$4/24) &gt; A756))&gt;0)</f>
        <v>1</v>
      </c>
      <c r="E756">
        <f>--(SUMPRODUCT((Data!$C$2:$C$53="K12B")*((Data!$A$2:$A$53 - Settings!$B$4/24) &lt;= A756)*((Data!$B$2:$B$53 + Settings!$B$4/24) &gt; A756))&gt;0)</f>
        <v>0</v>
      </c>
      <c r="F756">
        <f>--(SUMPRODUCT((Data!$C$2:$C$53="TT2")*((Data!$A$2:$A$53 - Settings!$B$4/24) &lt;= A756)*((Data!$B$2:$B$53 + Settings!$B$4/24) &gt; A756))&gt;0)</f>
        <v>0</v>
      </c>
    </row>
    <row r="757" spans="1:6" ht="15.6" x14ac:dyDescent="0.3">
      <c r="A757" s="1">
        <v>45963.458680555559</v>
      </c>
      <c r="B757">
        <f>--(SUMPRODUCT((Data!$C$2:$C$53="K12C")*((Data!$A$2:$A$53 - Settings!$B$4/24) &lt;= A757)*((Data!$B$2:$B$53 + Settings!$B$4/24) &gt; A757))&gt;0)</f>
        <v>1</v>
      </c>
      <c r="C757">
        <f>--(SUMPRODUCT((Data!$C$2:$C$53="K12A")*((Data!$A$2:$A$53 - Settings!$B$4/24) &lt;= A757)*((Data!$B$2:$B$53 + Settings!$B$4/24) &gt; A757))&gt;0)</f>
        <v>0</v>
      </c>
      <c r="D757">
        <f>--(SUMPRODUCT((Data!$C$2:$C$53="K12")*((Data!$A$2:$A$53 - Settings!$B$4/24) &lt;= A757)*((Data!$B$2:$B$53 + Settings!$B$4/24) &gt; A757))&gt;0)</f>
        <v>1</v>
      </c>
      <c r="E757">
        <f>--(SUMPRODUCT((Data!$C$2:$C$53="K12B")*((Data!$A$2:$A$53 - Settings!$B$4/24) &lt;= A757)*((Data!$B$2:$B$53 + Settings!$B$4/24) &gt; A757))&gt;0)</f>
        <v>0</v>
      </c>
      <c r="F757">
        <f>--(SUMPRODUCT((Data!$C$2:$C$53="TT2")*((Data!$A$2:$A$53 - Settings!$B$4/24) &lt;= A757)*((Data!$B$2:$B$53 + Settings!$B$4/24) &gt; A757))&gt;0)</f>
        <v>0</v>
      </c>
    </row>
    <row r="758" spans="1:6" ht="15.6" x14ac:dyDescent="0.3">
      <c r="A758" s="1">
        <v>45963.500347222223</v>
      </c>
      <c r="B758">
        <f>--(SUMPRODUCT((Data!$C$2:$C$53="K12C")*((Data!$A$2:$A$53 - Settings!$B$4/24) &lt;= A758)*((Data!$B$2:$B$53 + Settings!$B$4/24) &gt; A758))&gt;0)</f>
        <v>1</v>
      </c>
      <c r="C758">
        <f>--(SUMPRODUCT((Data!$C$2:$C$53="K12A")*((Data!$A$2:$A$53 - Settings!$B$4/24) &lt;= A758)*((Data!$B$2:$B$53 + Settings!$B$4/24) &gt; A758))&gt;0)</f>
        <v>0</v>
      </c>
      <c r="D758">
        <f>--(SUMPRODUCT((Data!$C$2:$C$53="K12")*((Data!$A$2:$A$53 - Settings!$B$4/24) &lt;= A758)*((Data!$B$2:$B$53 + Settings!$B$4/24) &gt; A758))&gt;0)</f>
        <v>1</v>
      </c>
      <c r="E758">
        <f>--(SUMPRODUCT((Data!$C$2:$C$53="K12B")*((Data!$A$2:$A$53 - Settings!$B$4/24) &lt;= A758)*((Data!$B$2:$B$53 + Settings!$B$4/24) &gt; A758))&gt;0)</f>
        <v>0</v>
      </c>
      <c r="F758">
        <f>--(SUMPRODUCT((Data!$C$2:$C$53="TT2")*((Data!$A$2:$A$53 - Settings!$B$4/24) &lt;= A758)*((Data!$B$2:$B$53 + Settings!$B$4/24) &gt; A758))&gt;0)</f>
        <v>0</v>
      </c>
    </row>
    <row r="759" spans="1:6" ht="15.6" x14ac:dyDescent="0.3">
      <c r="A759" s="1">
        <v>45963.542013888888</v>
      </c>
      <c r="B759">
        <f>--(SUMPRODUCT((Data!$C$2:$C$53="K12C")*((Data!$A$2:$A$53 - Settings!$B$4/24) &lt;= A759)*((Data!$B$2:$B$53 + Settings!$B$4/24) &gt; A759))&gt;0)</f>
        <v>1</v>
      </c>
      <c r="C759">
        <f>--(SUMPRODUCT((Data!$C$2:$C$53="K12A")*((Data!$A$2:$A$53 - Settings!$B$4/24) &lt;= A759)*((Data!$B$2:$B$53 + Settings!$B$4/24) &gt; A759))&gt;0)</f>
        <v>0</v>
      </c>
      <c r="D759">
        <f>--(SUMPRODUCT((Data!$C$2:$C$53="K12")*((Data!$A$2:$A$53 - Settings!$B$4/24) &lt;= A759)*((Data!$B$2:$B$53 + Settings!$B$4/24) &gt; A759))&gt;0)</f>
        <v>1</v>
      </c>
      <c r="E759">
        <f>--(SUMPRODUCT((Data!$C$2:$C$53="K12B")*((Data!$A$2:$A$53 - Settings!$B$4/24) &lt;= A759)*((Data!$B$2:$B$53 + Settings!$B$4/24) &gt; A759))&gt;0)</f>
        <v>0</v>
      </c>
      <c r="F759">
        <f>--(SUMPRODUCT((Data!$C$2:$C$53="TT2")*((Data!$A$2:$A$53 - Settings!$B$4/24) &lt;= A759)*((Data!$B$2:$B$53 + Settings!$B$4/24) &gt; A759))&gt;0)</f>
        <v>0</v>
      </c>
    </row>
    <row r="760" spans="1:6" ht="15.6" x14ac:dyDescent="0.3">
      <c r="A760" s="1">
        <v>45963.583680555559</v>
      </c>
      <c r="B760">
        <f>--(SUMPRODUCT((Data!$C$2:$C$53="K12C")*((Data!$A$2:$A$53 - Settings!$B$4/24) &lt;= A760)*((Data!$B$2:$B$53 + Settings!$B$4/24) &gt; A760))&gt;0)</f>
        <v>1</v>
      </c>
      <c r="C760">
        <f>--(SUMPRODUCT((Data!$C$2:$C$53="K12A")*((Data!$A$2:$A$53 - Settings!$B$4/24) &lt;= A760)*((Data!$B$2:$B$53 + Settings!$B$4/24) &gt; A760))&gt;0)</f>
        <v>0</v>
      </c>
      <c r="D760">
        <f>--(SUMPRODUCT((Data!$C$2:$C$53="K12")*((Data!$A$2:$A$53 - Settings!$B$4/24) &lt;= A760)*((Data!$B$2:$B$53 + Settings!$B$4/24) &gt; A760))&gt;0)</f>
        <v>1</v>
      </c>
      <c r="E760">
        <f>--(SUMPRODUCT((Data!$C$2:$C$53="K12B")*((Data!$A$2:$A$53 - Settings!$B$4/24) &lt;= A760)*((Data!$B$2:$B$53 + Settings!$B$4/24) &gt; A760))&gt;0)</f>
        <v>0</v>
      </c>
      <c r="F760">
        <f>--(SUMPRODUCT((Data!$C$2:$C$53="TT2")*((Data!$A$2:$A$53 - Settings!$B$4/24) &lt;= A760)*((Data!$B$2:$B$53 + Settings!$B$4/24) &gt; A760))&gt;0)</f>
        <v>0</v>
      </c>
    </row>
    <row r="761" spans="1:6" ht="15.6" x14ac:dyDescent="0.3">
      <c r="A761" s="1">
        <v>45963.625347222223</v>
      </c>
      <c r="B761">
        <f>--(SUMPRODUCT((Data!$C$2:$C$53="K12C")*((Data!$A$2:$A$53 - Settings!$B$4/24) &lt;= A761)*((Data!$B$2:$B$53 + Settings!$B$4/24) &gt; A761))&gt;0)</f>
        <v>1</v>
      </c>
      <c r="C761">
        <f>--(SUMPRODUCT((Data!$C$2:$C$53="K12A")*((Data!$A$2:$A$53 - Settings!$B$4/24) &lt;= A761)*((Data!$B$2:$B$53 + Settings!$B$4/24) &gt; A761))&gt;0)</f>
        <v>0</v>
      </c>
      <c r="D761">
        <f>--(SUMPRODUCT((Data!$C$2:$C$53="K12")*((Data!$A$2:$A$53 - Settings!$B$4/24) &lt;= A761)*((Data!$B$2:$B$53 + Settings!$B$4/24) &gt; A761))&gt;0)</f>
        <v>1</v>
      </c>
      <c r="E761">
        <f>--(SUMPRODUCT((Data!$C$2:$C$53="K12B")*((Data!$A$2:$A$53 - Settings!$B$4/24) &lt;= A761)*((Data!$B$2:$B$53 + Settings!$B$4/24) &gt; A761))&gt;0)</f>
        <v>0</v>
      </c>
      <c r="F761">
        <f>--(SUMPRODUCT((Data!$C$2:$C$53="TT2")*((Data!$A$2:$A$53 - Settings!$B$4/24) &lt;= A761)*((Data!$B$2:$B$53 + Settings!$B$4/24) &gt; A761))&gt;0)</f>
        <v>0</v>
      </c>
    </row>
    <row r="762" spans="1:6" ht="15.6" x14ac:dyDescent="0.3">
      <c r="A762" s="1">
        <v>45963.667013888888</v>
      </c>
      <c r="B762">
        <f>--(SUMPRODUCT((Data!$C$2:$C$53="K12C")*((Data!$A$2:$A$53 - Settings!$B$4/24) &lt;= A762)*((Data!$B$2:$B$53 + Settings!$B$4/24) &gt; A762))&gt;0)</f>
        <v>1</v>
      </c>
      <c r="C762">
        <f>--(SUMPRODUCT((Data!$C$2:$C$53="K12A")*((Data!$A$2:$A$53 - Settings!$B$4/24) &lt;= A762)*((Data!$B$2:$B$53 + Settings!$B$4/24) &gt; A762))&gt;0)</f>
        <v>0</v>
      </c>
      <c r="D762">
        <f>--(SUMPRODUCT((Data!$C$2:$C$53="K12")*((Data!$A$2:$A$53 - Settings!$B$4/24) &lt;= A762)*((Data!$B$2:$B$53 + Settings!$B$4/24) &gt; A762))&gt;0)</f>
        <v>1</v>
      </c>
      <c r="E762">
        <f>--(SUMPRODUCT((Data!$C$2:$C$53="K12B")*((Data!$A$2:$A$53 - Settings!$B$4/24) &lt;= A762)*((Data!$B$2:$B$53 + Settings!$B$4/24) &gt; A762))&gt;0)</f>
        <v>0</v>
      </c>
      <c r="F762">
        <f>--(SUMPRODUCT((Data!$C$2:$C$53="TT2")*((Data!$A$2:$A$53 - Settings!$B$4/24) &lt;= A762)*((Data!$B$2:$B$53 + Settings!$B$4/24) &gt; A762))&gt;0)</f>
        <v>0</v>
      </c>
    </row>
    <row r="763" spans="1:6" ht="15.6" x14ac:dyDescent="0.3">
      <c r="A763" s="1">
        <v>45963.708680555559</v>
      </c>
      <c r="B763">
        <f>--(SUMPRODUCT((Data!$C$2:$C$53="K12C")*((Data!$A$2:$A$53 - Settings!$B$4/24) &lt;= A763)*((Data!$B$2:$B$53 + Settings!$B$4/24) &gt; A763))&gt;0)</f>
        <v>1</v>
      </c>
      <c r="C763">
        <f>--(SUMPRODUCT((Data!$C$2:$C$53="K12A")*((Data!$A$2:$A$53 - Settings!$B$4/24) &lt;= A763)*((Data!$B$2:$B$53 + Settings!$B$4/24) &gt; A763))&gt;0)</f>
        <v>0</v>
      </c>
      <c r="D763">
        <f>--(SUMPRODUCT((Data!$C$2:$C$53="K12")*((Data!$A$2:$A$53 - Settings!$B$4/24) &lt;= A763)*((Data!$B$2:$B$53 + Settings!$B$4/24) &gt; A763))&gt;0)</f>
        <v>1</v>
      </c>
      <c r="E763">
        <f>--(SUMPRODUCT((Data!$C$2:$C$53="K12B")*((Data!$A$2:$A$53 - Settings!$B$4/24) &lt;= A763)*((Data!$B$2:$B$53 + Settings!$B$4/24) &gt; A763))&gt;0)</f>
        <v>0</v>
      </c>
      <c r="F763">
        <f>--(SUMPRODUCT((Data!$C$2:$C$53="TT2")*((Data!$A$2:$A$53 - Settings!$B$4/24) &lt;= A763)*((Data!$B$2:$B$53 + Settings!$B$4/24) &gt; A763))&gt;0)</f>
        <v>0</v>
      </c>
    </row>
    <row r="764" spans="1:6" ht="15.6" x14ac:dyDescent="0.3">
      <c r="A764" s="1">
        <v>45963.750347222223</v>
      </c>
      <c r="B764">
        <f>--(SUMPRODUCT((Data!$C$2:$C$53="K12C")*((Data!$A$2:$A$53 - Settings!$B$4/24) &lt;= A764)*((Data!$B$2:$B$53 + Settings!$B$4/24) &gt; A764))&gt;0)</f>
        <v>1</v>
      </c>
      <c r="C764">
        <f>--(SUMPRODUCT((Data!$C$2:$C$53="K12A")*((Data!$A$2:$A$53 - Settings!$B$4/24) &lt;= A764)*((Data!$B$2:$B$53 + Settings!$B$4/24) &gt; A764))&gt;0)</f>
        <v>0</v>
      </c>
      <c r="D764">
        <f>--(SUMPRODUCT((Data!$C$2:$C$53="K12")*((Data!$A$2:$A$53 - Settings!$B$4/24) &lt;= A764)*((Data!$B$2:$B$53 + Settings!$B$4/24) &gt; A764))&gt;0)</f>
        <v>1</v>
      </c>
      <c r="E764">
        <f>--(SUMPRODUCT((Data!$C$2:$C$53="K12B")*((Data!$A$2:$A$53 - Settings!$B$4/24) &lt;= A764)*((Data!$B$2:$B$53 + Settings!$B$4/24) &gt; A764))&gt;0)</f>
        <v>0</v>
      </c>
      <c r="F764">
        <f>--(SUMPRODUCT((Data!$C$2:$C$53="TT2")*((Data!$A$2:$A$53 - Settings!$B$4/24) &lt;= A764)*((Data!$B$2:$B$53 + Settings!$B$4/24) &gt; A764))&gt;0)</f>
        <v>0</v>
      </c>
    </row>
    <row r="765" spans="1:6" ht="15.6" x14ac:dyDescent="0.3">
      <c r="A765" s="1">
        <v>45963.792013888888</v>
      </c>
      <c r="B765">
        <f>--(SUMPRODUCT((Data!$C$2:$C$53="K12C")*((Data!$A$2:$A$53 - Settings!$B$4/24) &lt;= A765)*((Data!$B$2:$B$53 + Settings!$B$4/24) &gt; A765))&gt;0)</f>
        <v>1</v>
      </c>
      <c r="C765">
        <f>--(SUMPRODUCT((Data!$C$2:$C$53="K12A")*((Data!$A$2:$A$53 - Settings!$B$4/24) &lt;= A765)*((Data!$B$2:$B$53 + Settings!$B$4/24) &gt; A765))&gt;0)</f>
        <v>0</v>
      </c>
      <c r="D765">
        <f>--(SUMPRODUCT((Data!$C$2:$C$53="K12")*((Data!$A$2:$A$53 - Settings!$B$4/24) &lt;= A765)*((Data!$B$2:$B$53 + Settings!$B$4/24) &gt; A765))&gt;0)</f>
        <v>1</v>
      </c>
      <c r="E765">
        <f>--(SUMPRODUCT((Data!$C$2:$C$53="K12B")*((Data!$A$2:$A$53 - Settings!$B$4/24) &lt;= A765)*((Data!$B$2:$B$53 + Settings!$B$4/24) &gt; A765))&gt;0)</f>
        <v>0</v>
      </c>
      <c r="F765">
        <f>--(SUMPRODUCT((Data!$C$2:$C$53="TT2")*((Data!$A$2:$A$53 - Settings!$B$4/24) &lt;= A765)*((Data!$B$2:$B$53 + Settings!$B$4/24) &gt; A765))&gt;0)</f>
        <v>0</v>
      </c>
    </row>
    <row r="766" spans="1:6" ht="15.6" x14ac:dyDescent="0.3">
      <c r="A766" s="1">
        <v>45963.833680555559</v>
      </c>
      <c r="B766">
        <f>--(SUMPRODUCT((Data!$C$2:$C$53="K12C")*((Data!$A$2:$A$53 - Settings!$B$4/24) &lt;= A766)*((Data!$B$2:$B$53 + Settings!$B$4/24) &gt; A766))&gt;0)</f>
        <v>1</v>
      </c>
      <c r="C766">
        <f>--(SUMPRODUCT((Data!$C$2:$C$53="K12A")*((Data!$A$2:$A$53 - Settings!$B$4/24) &lt;= A766)*((Data!$B$2:$B$53 + Settings!$B$4/24) &gt; A766))&gt;0)</f>
        <v>0</v>
      </c>
      <c r="D766">
        <f>--(SUMPRODUCT((Data!$C$2:$C$53="K12")*((Data!$A$2:$A$53 - Settings!$B$4/24) &lt;= A766)*((Data!$B$2:$B$53 + Settings!$B$4/24) &gt; A766))&gt;0)</f>
        <v>1</v>
      </c>
      <c r="E766">
        <f>--(SUMPRODUCT((Data!$C$2:$C$53="K12B")*((Data!$A$2:$A$53 - Settings!$B$4/24) &lt;= A766)*((Data!$B$2:$B$53 + Settings!$B$4/24) &gt; A766))&gt;0)</f>
        <v>0</v>
      </c>
      <c r="F766">
        <f>--(SUMPRODUCT((Data!$C$2:$C$53="TT2")*((Data!$A$2:$A$53 - Settings!$B$4/24) &lt;= A766)*((Data!$B$2:$B$53 + Settings!$B$4/24) &gt; A766))&gt;0)</f>
        <v>0</v>
      </c>
    </row>
    <row r="767" spans="1:6" ht="15.6" x14ac:dyDescent="0.3">
      <c r="A767" s="1">
        <v>45963.875347222223</v>
      </c>
      <c r="B767">
        <f>--(SUMPRODUCT((Data!$C$2:$C$53="K12C")*((Data!$A$2:$A$53 - Settings!$B$4/24) &lt;= A767)*((Data!$B$2:$B$53 + Settings!$B$4/24) &gt; A767))&gt;0)</f>
        <v>1</v>
      </c>
      <c r="C767">
        <f>--(SUMPRODUCT((Data!$C$2:$C$53="K12A")*((Data!$A$2:$A$53 - Settings!$B$4/24) &lt;= A767)*((Data!$B$2:$B$53 + Settings!$B$4/24) &gt; A767))&gt;0)</f>
        <v>0</v>
      </c>
      <c r="D767">
        <f>--(SUMPRODUCT((Data!$C$2:$C$53="K12")*((Data!$A$2:$A$53 - Settings!$B$4/24) &lt;= A767)*((Data!$B$2:$B$53 + Settings!$B$4/24) &gt; A767))&gt;0)</f>
        <v>1</v>
      </c>
      <c r="E767">
        <f>--(SUMPRODUCT((Data!$C$2:$C$53="K12B")*((Data!$A$2:$A$53 - Settings!$B$4/24) &lt;= A767)*((Data!$B$2:$B$53 + Settings!$B$4/24) &gt; A767))&gt;0)</f>
        <v>0</v>
      </c>
      <c r="F767">
        <f>--(SUMPRODUCT((Data!$C$2:$C$53="TT2")*((Data!$A$2:$A$53 - Settings!$B$4/24) &lt;= A767)*((Data!$B$2:$B$53 + Settings!$B$4/24) &gt; A767))&gt;0)</f>
        <v>0</v>
      </c>
    </row>
    <row r="768" spans="1:6" ht="15.6" x14ac:dyDescent="0.3">
      <c r="A768" s="1">
        <v>45963.917013888888</v>
      </c>
      <c r="B768">
        <f>--(SUMPRODUCT((Data!$C$2:$C$53="K12C")*((Data!$A$2:$A$53 - Settings!$B$4/24) &lt;= A768)*((Data!$B$2:$B$53 + Settings!$B$4/24) &gt; A768))&gt;0)</f>
        <v>1</v>
      </c>
      <c r="C768">
        <f>--(SUMPRODUCT((Data!$C$2:$C$53="K12A")*((Data!$A$2:$A$53 - Settings!$B$4/24) &lt;= A768)*((Data!$B$2:$B$53 + Settings!$B$4/24) &gt; A768))&gt;0)</f>
        <v>0</v>
      </c>
      <c r="D768">
        <f>--(SUMPRODUCT((Data!$C$2:$C$53="K12")*((Data!$A$2:$A$53 - Settings!$B$4/24) &lt;= A768)*((Data!$B$2:$B$53 + Settings!$B$4/24) &gt; A768))&gt;0)</f>
        <v>1</v>
      </c>
      <c r="E768">
        <f>--(SUMPRODUCT((Data!$C$2:$C$53="K12B")*((Data!$A$2:$A$53 - Settings!$B$4/24) &lt;= A768)*((Data!$B$2:$B$53 + Settings!$B$4/24) &gt; A768))&gt;0)</f>
        <v>0</v>
      </c>
      <c r="F768">
        <f>--(SUMPRODUCT((Data!$C$2:$C$53="TT2")*((Data!$A$2:$A$53 - Settings!$B$4/24) &lt;= A768)*((Data!$B$2:$B$53 + Settings!$B$4/24) &gt; A768))&gt;0)</f>
        <v>0</v>
      </c>
    </row>
    <row r="769" spans="1:6" ht="15.6" x14ac:dyDescent="0.3">
      <c r="A769" s="1">
        <v>45963.958680555559</v>
      </c>
      <c r="B769">
        <f>--(SUMPRODUCT((Data!$C$2:$C$53="K12C")*((Data!$A$2:$A$53 - Settings!$B$4/24) &lt;= A769)*((Data!$B$2:$B$53 + Settings!$B$4/24) &gt; A769))&gt;0)</f>
        <v>0</v>
      </c>
      <c r="C769">
        <f>--(SUMPRODUCT((Data!$C$2:$C$53="K12A")*((Data!$A$2:$A$53 - Settings!$B$4/24) &lt;= A769)*((Data!$B$2:$B$53 + Settings!$B$4/24) &gt; A769))&gt;0)</f>
        <v>0</v>
      </c>
      <c r="D769">
        <f>--(SUMPRODUCT((Data!$C$2:$C$53="K12")*((Data!$A$2:$A$53 - Settings!$B$4/24) &lt;= A769)*((Data!$B$2:$B$53 + Settings!$B$4/24) &gt; A769))&gt;0)</f>
        <v>1</v>
      </c>
      <c r="E769">
        <f>--(SUMPRODUCT((Data!$C$2:$C$53="K12B")*((Data!$A$2:$A$53 - Settings!$B$4/24) &lt;= A769)*((Data!$B$2:$B$53 + Settings!$B$4/24) &gt; A769))&gt;0)</f>
        <v>0</v>
      </c>
      <c r="F769">
        <f>--(SUMPRODUCT((Data!$C$2:$C$53="TT2")*((Data!$A$2:$A$53 - Settings!$B$4/24) &lt;= A769)*((Data!$B$2:$B$53 + Settings!$B$4/24) &gt; A769))&gt;0)</f>
        <v>0</v>
      </c>
    </row>
    <row r="771" spans="1:6" ht="15.6" x14ac:dyDescent="0.3">
      <c r="A771" t="s">
        <v>18</v>
      </c>
      <c r="B771">
        <f>SUM(B$2:B$769)</f>
        <v>356</v>
      </c>
    </row>
    <row r="772" spans="1:6" ht="15.6" x14ac:dyDescent="0.3">
      <c r="A772" t="s">
        <v>19</v>
      </c>
    </row>
    <row r="773" spans="1:6" ht="15.6" x14ac:dyDescent="0.3">
      <c r="A773" t="s">
        <v>20</v>
      </c>
      <c r="B773">
        <f>SUM(C$2:C$769)</f>
        <v>329</v>
      </c>
    </row>
    <row r="774" spans="1:6" ht="15.6" x14ac:dyDescent="0.3">
      <c r="A774" t="s">
        <v>21</v>
      </c>
    </row>
    <row r="775" spans="1:6" ht="15.6" x14ac:dyDescent="0.3">
      <c r="A775" t="s">
        <v>22</v>
      </c>
      <c r="B775">
        <f>SUM(D$2:D$769)</f>
        <v>528</v>
      </c>
    </row>
    <row r="776" spans="1:6" ht="15.6" x14ac:dyDescent="0.3">
      <c r="A776" t="s">
        <v>23</v>
      </c>
    </row>
    <row r="777" spans="1:6" ht="15.6" x14ac:dyDescent="0.3">
      <c r="A777" t="s">
        <v>24</v>
      </c>
      <c r="B777">
        <f>SUM(E$2:E$769)</f>
        <v>350</v>
      </c>
    </row>
    <row r="778" spans="1:6" ht="15.6" x14ac:dyDescent="0.3">
      <c r="A778" t="s">
        <v>25</v>
      </c>
    </row>
    <row r="779" spans="1:6" ht="15.6" x14ac:dyDescent="0.3">
      <c r="A779" t="s">
        <v>26</v>
      </c>
      <c r="B779">
        <f>SUM(F$2:F$769)</f>
        <v>344</v>
      </c>
    </row>
    <row r="780" spans="1:6" ht="15.6" x14ac:dyDescent="0.3">
      <c r="A780" t="s">
        <v>27</v>
      </c>
    </row>
  </sheetData>
  <pageMargins left="0.7" right="0.7" top="0.75" bottom="0.75" header="0.3" footer="0.3"/>
  <ignoredErrors>
    <ignoredError sqref="A1:F7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Settings</vt:lpstr>
      <vt:lpstr>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Hoang</cp:lastModifiedBy>
  <dcterms:modified xsi:type="dcterms:W3CDTF">2025-11-11T13:14:41Z</dcterms:modified>
</cp:coreProperties>
</file>