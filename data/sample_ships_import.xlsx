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9f782525ea99d260/CODE/v0/data/"/>
    </mc:Choice>
  </mc:AlternateContent>
  <xr:revisionPtr revIDLastSave="67" documentId="13_ncr:1_{1A4A3C2B-E08E-4132-8673-C2B8B94C16F3}" xr6:coauthVersionLast="47" xr6:coauthVersionMax="47" xr10:uidLastSave="{B13DE401-98B2-4C44-A212-3DDBAFA1CE8F}"/>
  <bookViews>
    <workbookView xWindow="-108" yWindow="-108" windowWidth="23256" windowHeight="13896" xr2:uid="{00000000-000D-0000-FFFF-FFFF00000000}"/>
  </bookViews>
  <sheets>
    <sheet name="Ship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3" i="1" l="1"/>
  <c r="G52" i="1"/>
  <c r="G51" i="1"/>
  <c r="G50" i="1"/>
  <c r="G49" i="1"/>
  <c r="F48" i="1"/>
  <c r="F47" i="1"/>
  <c r="G46" i="1"/>
  <c r="G45" i="1"/>
  <c r="F44" i="1"/>
  <c r="G43" i="1"/>
  <c r="G42" i="1"/>
  <c r="G41" i="1"/>
  <c r="F40" i="1"/>
  <c r="G39" i="1"/>
  <c r="F38" i="1"/>
  <c r="G37" i="1"/>
  <c r="G36" i="1"/>
  <c r="G35" i="1"/>
  <c r="G34" i="1"/>
  <c r="G33" i="1"/>
  <c r="G32" i="1"/>
  <c r="G31" i="1"/>
  <c r="G30" i="1"/>
  <c r="G29" i="1"/>
  <c r="F28" i="1"/>
  <c r="G27" i="1" l="1"/>
  <c r="G26" i="1"/>
  <c r="G25" i="1"/>
  <c r="G24" i="1"/>
  <c r="F23" i="1"/>
  <c r="F22" i="1"/>
  <c r="F21" i="1"/>
  <c r="F20" i="1"/>
  <c r="F19" i="1"/>
  <c r="G18" i="1"/>
  <c r="G17" i="1"/>
  <c r="G16" i="1"/>
  <c r="G15" i="1"/>
  <c r="G14" i="1"/>
  <c r="G13" i="1"/>
  <c r="G12" i="1"/>
  <c r="G11" i="1"/>
  <c r="F10" i="1"/>
  <c r="G9" i="1"/>
  <c r="G8" i="1"/>
  <c r="G7" i="1"/>
  <c r="F6" i="1"/>
  <c r="G5" i="1"/>
  <c r="G4" i="1"/>
  <c r="G3" i="1"/>
  <c r="F2" i="1"/>
</calcChain>
</file>

<file path=xl/sharedStrings.xml><?xml version="1.0" encoding="utf-8"?>
<sst xmlns="http://schemas.openxmlformats.org/spreadsheetml/2006/main" count="315" uniqueCount="93">
  <si>
    <t>id</t>
  </si>
  <si>
    <t>name</t>
  </si>
  <si>
    <t>status</t>
  </si>
  <si>
    <t>berthName</t>
  </si>
  <si>
    <t>startPosition</t>
  </si>
  <si>
    <t>endPosition</t>
  </si>
  <si>
    <t>eta</t>
  </si>
  <si>
    <t>etd</t>
  </si>
  <si>
    <t>cargoType</t>
  </si>
  <si>
    <t>cargo</t>
  </si>
  <si>
    <t>dwt</t>
  </si>
  <si>
    <t>loa</t>
  </si>
  <si>
    <t>beam</t>
  </si>
  <si>
    <t>notes</t>
  </si>
  <si>
    <t>contFlag</t>
  </si>
  <si>
    <t>cargoUnit</t>
  </si>
  <si>
    <t>SHIP_001</t>
  </si>
  <si>
    <t>K12C</t>
  </si>
  <si>
    <t>Container</t>
  </si>
  <si>
    <t>Priority client</t>
  </si>
  <si>
    <t>TEU</t>
  </si>
  <si>
    <t>SHIP_002</t>
  </si>
  <si>
    <t>BERTHED</t>
  </si>
  <si>
    <t>K12A</t>
  </si>
  <si>
    <t>Steel import</t>
  </si>
  <si>
    <t>tons</t>
  </si>
  <si>
    <t>SHIP_003</t>
  </si>
  <si>
    <t>Waiting for berth</t>
  </si>
  <si>
    <t>SHIP_004</t>
  </si>
  <si>
    <t>TT2</t>
  </si>
  <si>
    <t>Grain bulk</t>
  </si>
  <si>
    <t>Sắt thép</t>
  </si>
  <si>
    <t>VIET THUAN 215-06</t>
  </si>
  <si>
    <t>GLOBAL 88</t>
  </si>
  <si>
    <t>TU CUONG 68</t>
  </si>
  <si>
    <t>VIET THUAN 12-07</t>
  </si>
  <si>
    <t>ATN LUCKY</t>
  </si>
  <si>
    <t>TRUNG THANG 66</t>
  </si>
  <si>
    <t>DINH GIA 79</t>
  </si>
  <si>
    <t>VIET THUAN 235-06</t>
  </si>
  <si>
    <t>XIN HAI TONG 37</t>
  </si>
  <si>
    <t>BAI MEI 8</t>
  </si>
  <si>
    <t>NEWSUN SYMPHONY</t>
  </si>
  <si>
    <t>GIA LINH 368</t>
  </si>
  <si>
    <t>VIET THUAN 10-05</t>
  </si>
  <si>
    <t>JUMEIRAH BEACH</t>
  </si>
  <si>
    <t>TS HONOUR</t>
  </si>
  <si>
    <t>VIET THUAN 12-06</t>
  </si>
  <si>
    <t>VIET THUAN 12-01</t>
  </si>
  <si>
    <t>HAI PHAT 135</t>
  </si>
  <si>
    <t>LI FA 3</t>
  </si>
  <si>
    <t>BAO QIAO 77</t>
  </si>
  <si>
    <t>TOMINI OROSHI</t>
  </si>
  <si>
    <t>TRUNG THANG 56</t>
  </si>
  <si>
    <t>K12</t>
  </si>
  <si>
    <t>BIEN DONG MARINER</t>
  </si>
  <si>
    <t>BIEN DONG NAVIGATOR</t>
  </si>
  <si>
    <t>BIEN DONG STAR</t>
  </si>
  <si>
    <t>FORTUNE FREIGHTER</t>
  </si>
  <si>
    <t>FORTUNE NAVIGATOR</t>
  </si>
  <si>
    <t>FORTURE FREIGHTER</t>
  </si>
  <si>
    <t>NEWSUN GREEN 03</t>
  </si>
  <si>
    <t>NEWSUN GREEN</t>
  </si>
  <si>
    <t>VIMC PIONEER</t>
  </si>
  <si>
    <t>K12B</t>
  </si>
  <si>
    <t>456/456</t>
  </si>
  <si>
    <t>468/468</t>
  </si>
  <si>
    <t>491/491</t>
  </si>
  <si>
    <t>485/485</t>
  </si>
  <si>
    <t>453/453</t>
  </si>
  <si>
    <t>366/366</t>
  </si>
  <si>
    <t>241/241</t>
  </si>
  <si>
    <t>231/231</t>
  </si>
  <si>
    <t>343/343</t>
  </si>
  <si>
    <t>297/297</t>
  </si>
  <si>
    <t>293/293</t>
  </si>
  <si>
    <t>329/329</t>
  </si>
  <si>
    <t>303/303</t>
  </si>
  <si>
    <t>296/296</t>
  </si>
  <si>
    <t>302/302</t>
  </si>
  <si>
    <t>291/291</t>
  </si>
  <si>
    <t>304/304</t>
  </si>
  <si>
    <t>308/308</t>
  </si>
  <si>
    <t>305/305</t>
  </si>
  <si>
    <t>152/152</t>
  </si>
  <si>
    <t>155/155</t>
  </si>
  <si>
    <t>157/157</t>
  </si>
  <si>
    <t>263/263</t>
  </si>
  <si>
    <t>271/271</t>
  </si>
  <si>
    <t>301/301</t>
  </si>
  <si>
    <t>mạn</t>
  </si>
  <si>
    <t>trái</t>
  </si>
  <si>
    <t>phải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</si>
</sst>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h:mm\ \-\ dd/mm/yyyy"/>
    <numFmt numFmtId="166" formatCode="yyyy\-mm\-dd\ hh:mm:ss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6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64" fontId="2" fillId="0" borderId="1" xfId="1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/>
    <xf numFmtId="166" fontId="4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3"/>
  <sheetViews>
    <sheetView tabSelected="1" zoomScale="70" zoomScaleNormal="70" workbookViewId="0">
      <selection activeCell="D6" sqref="D6:D53"/>
    </sheetView>
  </sheetViews>
  <sheetFormatPr defaultRowHeight="15.6" x14ac:dyDescent="0.3"/>
  <cols>
    <col min="1" max="1" width="12.8984375" customWidth="1"/>
    <col min="2" max="2" width="20.8984375" customWidth="1"/>
    <col min="3" max="4" width="12.8984375" customWidth="1"/>
    <col min="5" max="5" width="10.8984375" customWidth="1"/>
    <col min="6" max="7" width="8.8984375" customWidth="1"/>
    <col min="8" max="9" width="20.8984375" customWidth="1"/>
    <col min="10" max="11" width="12.8984375" customWidth="1"/>
    <col min="12" max="12" width="10.8984375" customWidth="1"/>
    <col min="13" max="14" width="8.8984375" customWidth="1"/>
    <col min="15" max="15" width="20.8984375" customWidth="1"/>
    <col min="16" max="16" width="8.8984375" customWidth="1"/>
    <col min="17" max="17" width="10.898437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90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ht="21" x14ac:dyDescent="0.3">
      <c r="A2" t="s">
        <v>16</v>
      </c>
      <c r="B2" s="1" t="s">
        <v>32</v>
      </c>
      <c r="C2" t="s">
        <v>22</v>
      </c>
      <c r="D2" t="s">
        <v>91</v>
      </c>
      <c r="E2" s="2" t="s">
        <v>17</v>
      </c>
      <c r="F2" s="5">
        <f>G2-168</f>
        <v>7</v>
      </c>
      <c r="G2" s="5">
        <v>175</v>
      </c>
      <c r="H2" s="4">
        <v>45936.739583333336</v>
      </c>
      <c r="I2" s="4">
        <v>45938.069444444445</v>
      </c>
      <c r="J2" t="s">
        <v>31</v>
      </c>
      <c r="K2" s="3">
        <v>11318</v>
      </c>
      <c r="L2">
        <v>50000</v>
      </c>
      <c r="M2">
        <v>180</v>
      </c>
      <c r="N2">
        <v>28</v>
      </c>
      <c r="O2" t="s">
        <v>19</v>
      </c>
      <c r="P2">
        <v>1</v>
      </c>
      <c r="Q2" t="s">
        <v>20</v>
      </c>
    </row>
    <row r="3" spans="1:17" ht="21" x14ac:dyDescent="0.3">
      <c r="A3" t="s">
        <v>21</v>
      </c>
      <c r="B3" s="1" t="s">
        <v>33</v>
      </c>
      <c r="C3" t="s">
        <v>22</v>
      </c>
      <c r="D3" t="s">
        <v>92</v>
      </c>
      <c r="E3" s="2" t="s">
        <v>17</v>
      </c>
      <c r="F3" s="5">
        <v>5</v>
      </c>
      <c r="G3" s="5">
        <f>F3+80</f>
        <v>85</v>
      </c>
      <c r="H3" s="4">
        <v>45937.166666666664</v>
      </c>
      <c r="I3" s="4">
        <v>45938.069444444445</v>
      </c>
      <c r="J3" t="s">
        <v>31</v>
      </c>
      <c r="K3" s="3">
        <v>444</v>
      </c>
      <c r="L3">
        <v>40000</v>
      </c>
      <c r="M3">
        <v>165</v>
      </c>
      <c r="N3">
        <v>26</v>
      </c>
      <c r="O3" t="s">
        <v>24</v>
      </c>
      <c r="P3">
        <v>0</v>
      </c>
      <c r="Q3" t="s">
        <v>25</v>
      </c>
    </row>
    <row r="4" spans="1:17" ht="21" x14ac:dyDescent="0.3">
      <c r="A4" t="s">
        <v>26</v>
      </c>
      <c r="B4" s="1" t="s">
        <v>34</v>
      </c>
      <c r="C4" t="s">
        <v>22</v>
      </c>
      <c r="D4" t="s">
        <v>92</v>
      </c>
      <c r="E4" s="2" t="s">
        <v>29</v>
      </c>
      <c r="F4" s="5">
        <v>12</v>
      </c>
      <c r="G4" s="5">
        <f>F4+117</f>
        <v>129</v>
      </c>
      <c r="H4" s="4">
        <v>45937.590277777781</v>
      </c>
      <c r="I4" s="4">
        <v>45939.611111111109</v>
      </c>
      <c r="J4" t="s">
        <v>31</v>
      </c>
      <c r="K4" s="3">
        <v>8840</v>
      </c>
      <c r="L4">
        <v>30000</v>
      </c>
      <c r="M4">
        <v>150</v>
      </c>
      <c r="N4">
        <v>24</v>
      </c>
      <c r="O4" t="s">
        <v>27</v>
      </c>
      <c r="P4">
        <v>1</v>
      </c>
      <c r="Q4" t="s">
        <v>20</v>
      </c>
    </row>
    <row r="5" spans="1:17" ht="21" x14ac:dyDescent="0.3">
      <c r="A5" t="s">
        <v>28</v>
      </c>
      <c r="B5" s="1" t="s">
        <v>35</v>
      </c>
      <c r="C5" t="s">
        <v>22</v>
      </c>
      <c r="D5" t="s">
        <v>91</v>
      </c>
      <c r="E5" s="2" t="s">
        <v>54</v>
      </c>
      <c r="F5" s="5">
        <v>110</v>
      </c>
      <c r="G5" s="5">
        <f>F5+120</f>
        <v>230</v>
      </c>
      <c r="H5" s="4">
        <v>45939.131944444445</v>
      </c>
      <c r="I5" s="4">
        <v>45939.618055555555</v>
      </c>
      <c r="J5" t="s">
        <v>31</v>
      </c>
      <c r="K5" s="3">
        <v>1105</v>
      </c>
      <c r="L5">
        <v>20000</v>
      </c>
      <c r="M5">
        <v>170</v>
      </c>
      <c r="N5">
        <v>27</v>
      </c>
      <c r="O5" t="s">
        <v>30</v>
      </c>
      <c r="P5">
        <v>0</v>
      </c>
      <c r="Q5" t="s">
        <v>25</v>
      </c>
    </row>
    <row r="6" spans="1:17" ht="21" x14ac:dyDescent="0.3">
      <c r="B6" s="1" t="s">
        <v>36</v>
      </c>
      <c r="C6" t="s">
        <v>22</v>
      </c>
      <c r="D6" t="s">
        <v>91</v>
      </c>
      <c r="E6" s="2" t="s">
        <v>17</v>
      </c>
      <c r="F6" s="5">
        <f>G6-180</f>
        <v>-5</v>
      </c>
      <c r="G6" s="5">
        <v>175</v>
      </c>
      <c r="H6" s="4">
        <v>45941.284722222219</v>
      </c>
      <c r="I6" s="4">
        <v>45942.958333333336</v>
      </c>
      <c r="J6" t="s">
        <v>31</v>
      </c>
      <c r="K6" s="3">
        <v>30606</v>
      </c>
      <c r="L6">
        <v>20000</v>
      </c>
      <c r="M6">
        <v>180</v>
      </c>
      <c r="N6">
        <v>28</v>
      </c>
    </row>
    <row r="7" spans="1:17" ht="21" x14ac:dyDescent="0.3">
      <c r="B7" s="1" t="s">
        <v>37</v>
      </c>
      <c r="C7" t="s">
        <v>22</v>
      </c>
      <c r="D7" t="s">
        <v>92</v>
      </c>
      <c r="E7" s="2" t="s">
        <v>29</v>
      </c>
      <c r="F7" s="5">
        <v>25</v>
      </c>
      <c r="G7" s="5">
        <f>F7+110</f>
        <v>135</v>
      </c>
      <c r="H7" s="4">
        <v>45941.65625</v>
      </c>
      <c r="I7" s="4">
        <v>45943.09375</v>
      </c>
      <c r="J7" t="s">
        <v>31</v>
      </c>
      <c r="K7" s="3">
        <v>4475</v>
      </c>
      <c r="L7">
        <v>20000</v>
      </c>
      <c r="M7">
        <v>108</v>
      </c>
      <c r="N7">
        <v>28</v>
      </c>
    </row>
    <row r="8" spans="1:17" ht="21" x14ac:dyDescent="0.3">
      <c r="B8" s="1" t="s">
        <v>38</v>
      </c>
      <c r="C8" t="s">
        <v>22</v>
      </c>
      <c r="D8" t="s">
        <v>92</v>
      </c>
      <c r="E8" s="2" t="s">
        <v>23</v>
      </c>
      <c r="F8" s="5">
        <v>15</v>
      </c>
      <c r="G8" s="5">
        <f>F8+120</f>
        <v>135</v>
      </c>
      <c r="H8" s="4">
        <v>45941.819444444445</v>
      </c>
      <c r="I8" s="4">
        <v>45942.125</v>
      </c>
      <c r="J8" t="s">
        <v>31</v>
      </c>
      <c r="K8" s="3">
        <v>5635</v>
      </c>
      <c r="L8">
        <v>20000</v>
      </c>
      <c r="M8">
        <v>100</v>
      </c>
      <c r="N8">
        <v>28</v>
      </c>
    </row>
    <row r="9" spans="1:17" ht="21" x14ac:dyDescent="0.3">
      <c r="B9" s="1" t="s">
        <v>39</v>
      </c>
      <c r="C9" t="s">
        <v>22</v>
      </c>
      <c r="D9" t="s">
        <v>91</v>
      </c>
      <c r="E9" s="2" t="s">
        <v>23</v>
      </c>
      <c r="F9" s="5">
        <v>7</v>
      </c>
      <c r="G9" s="5">
        <f>F9+147</f>
        <v>154</v>
      </c>
      <c r="H9" s="4">
        <v>45943.288194444445</v>
      </c>
      <c r="I9" s="4">
        <v>45944.291666666664</v>
      </c>
      <c r="J9" t="s">
        <v>31</v>
      </c>
      <c r="K9" s="3">
        <v>5987</v>
      </c>
      <c r="L9">
        <v>20000</v>
      </c>
      <c r="M9">
        <v>147</v>
      </c>
      <c r="N9">
        <v>28</v>
      </c>
    </row>
    <row r="10" spans="1:17" ht="21" x14ac:dyDescent="0.3">
      <c r="B10" s="1" t="s">
        <v>40</v>
      </c>
      <c r="C10" t="s">
        <v>22</v>
      </c>
      <c r="D10" t="s">
        <v>91</v>
      </c>
      <c r="E10" s="2" t="s">
        <v>17</v>
      </c>
      <c r="F10" s="5">
        <f>G10-190</f>
        <v>-15</v>
      </c>
      <c r="G10" s="5">
        <v>175</v>
      </c>
      <c r="H10" s="4">
        <v>45943.239583333336</v>
      </c>
      <c r="I10" s="4">
        <v>45945.826388888891</v>
      </c>
      <c r="J10" t="s">
        <v>31</v>
      </c>
      <c r="K10" s="3">
        <v>5243</v>
      </c>
      <c r="L10">
        <v>20000</v>
      </c>
      <c r="M10">
        <v>190</v>
      </c>
      <c r="N10">
        <v>28</v>
      </c>
    </row>
    <row r="11" spans="1:17" ht="21" x14ac:dyDescent="0.3">
      <c r="B11" s="1" t="s">
        <v>41</v>
      </c>
      <c r="C11" t="s">
        <v>22</v>
      </c>
      <c r="D11" t="s">
        <v>92</v>
      </c>
      <c r="E11" s="2" t="s">
        <v>54</v>
      </c>
      <c r="F11" s="5">
        <v>170</v>
      </c>
      <c r="G11" s="5">
        <f>F11+178</f>
        <v>348</v>
      </c>
      <c r="H11" s="4">
        <v>45943.743055555555</v>
      </c>
      <c r="I11" s="4">
        <v>45945.041666666664</v>
      </c>
      <c r="J11" t="s">
        <v>31</v>
      </c>
      <c r="K11" s="3">
        <v>20536</v>
      </c>
      <c r="L11">
        <v>20000</v>
      </c>
      <c r="M11">
        <v>178</v>
      </c>
      <c r="N11">
        <v>28</v>
      </c>
    </row>
    <row r="12" spans="1:17" ht="21" x14ac:dyDescent="0.3">
      <c r="B12" s="1" t="s">
        <v>42</v>
      </c>
      <c r="C12" t="s">
        <v>22</v>
      </c>
      <c r="D12" t="s">
        <v>92</v>
      </c>
      <c r="E12" s="2" t="s">
        <v>29</v>
      </c>
      <c r="F12" s="5">
        <v>20</v>
      </c>
      <c r="G12" s="5">
        <f>F12+170</f>
        <v>190</v>
      </c>
      <c r="H12" s="4">
        <v>45943.822916666664</v>
      </c>
      <c r="I12" s="4">
        <v>45946.625</v>
      </c>
      <c r="J12" t="s">
        <v>31</v>
      </c>
      <c r="K12" s="3">
        <v>23672</v>
      </c>
      <c r="L12">
        <v>20000</v>
      </c>
      <c r="M12">
        <v>170</v>
      </c>
      <c r="N12">
        <v>28</v>
      </c>
    </row>
    <row r="13" spans="1:17" ht="21" x14ac:dyDescent="0.3">
      <c r="B13" s="1" t="s">
        <v>43</v>
      </c>
      <c r="C13" t="s">
        <v>22</v>
      </c>
      <c r="D13" t="s">
        <v>91</v>
      </c>
      <c r="E13" s="2" t="s">
        <v>54</v>
      </c>
      <c r="F13" s="5">
        <v>93</v>
      </c>
      <c r="G13" s="5">
        <f>F13+117</f>
        <v>210</v>
      </c>
      <c r="H13" s="4">
        <v>45945.972222222219</v>
      </c>
      <c r="I13" s="4">
        <v>45948.451388888891</v>
      </c>
      <c r="J13" t="s">
        <v>31</v>
      </c>
      <c r="K13" s="3">
        <v>13466</v>
      </c>
      <c r="L13">
        <v>20000</v>
      </c>
      <c r="M13">
        <v>116</v>
      </c>
      <c r="N13">
        <v>28</v>
      </c>
    </row>
    <row r="14" spans="1:17" ht="21" x14ac:dyDescent="0.3">
      <c r="B14" s="1" t="s">
        <v>44</v>
      </c>
      <c r="C14" t="s">
        <v>22</v>
      </c>
      <c r="D14" t="s">
        <v>91</v>
      </c>
      <c r="E14" s="2" t="s">
        <v>54</v>
      </c>
      <c r="F14" s="5">
        <v>225</v>
      </c>
      <c r="G14" s="5">
        <f>F14+120</f>
        <v>345</v>
      </c>
      <c r="H14" s="4">
        <v>45946.916666666664</v>
      </c>
      <c r="I14" s="4">
        <v>45948.458333333336</v>
      </c>
      <c r="J14" t="s">
        <v>31</v>
      </c>
      <c r="K14" s="3">
        <v>10665</v>
      </c>
      <c r="L14">
        <v>20000</v>
      </c>
      <c r="M14">
        <v>119</v>
      </c>
      <c r="N14">
        <v>28</v>
      </c>
    </row>
    <row r="15" spans="1:17" ht="21" x14ac:dyDescent="0.3">
      <c r="B15" s="1" t="s">
        <v>45</v>
      </c>
      <c r="C15" t="s">
        <v>22</v>
      </c>
      <c r="D15" t="s">
        <v>92</v>
      </c>
      <c r="E15" s="2" t="s">
        <v>29</v>
      </c>
      <c r="F15" s="5">
        <v>20</v>
      </c>
      <c r="G15" s="5">
        <f>F15+180</f>
        <v>200</v>
      </c>
      <c r="H15" s="4">
        <v>45949.645833333336</v>
      </c>
      <c r="I15" s="4">
        <v>45951.048611111109</v>
      </c>
      <c r="J15" t="s">
        <v>31</v>
      </c>
      <c r="K15" s="3">
        <v>8654</v>
      </c>
      <c r="L15">
        <v>20000</v>
      </c>
      <c r="M15">
        <v>180</v>
      </c>
      <c r="N15">
        <v>28</v>
      </c>
    </row>
    <row r="16" spans="1:17" ht="21" x14ac:dyDescent="0.3">
      <c r="B16" s="1" t="s">
        <v>32</v>
      </c>
      <c r="C16" t="s">
        <v>22</v>
      </c>
      <c r="D16" t="s">
        <v>92</v>
      </c>
      <c r="E16" s="2" t="s">
        <v>23</v>
      </c>
      <c r="F16" s="5">
        <v>12</v>
      </c>
      <c r="G16" s="5">
        <f>F16+168</f>
        <v>180</v>
      </c>
      <c r="H16" s="4">
        <v>45950.020833333336</v>
      </c>
      <c r="I16" s="4">
        <v>45951.576388888891</v>
      </c>
      <c r="J16" t="s">
        <v>31</v>
      </c>
      <c r="K16" s="3">
        <v>3703</v>
      </c>
      <c r="L16">
        <v>20000</v>
      </c>
      <c r="M16">
        <v>167</v>
      </c>
      <c r="N16">
        <v>28</v>
      </c>
    </row>
    <row r="17" spans="2:14" ht="21" x14ac:dyDescent="0.3">
      <c r="B17" s="1" t="s">
        <v>34</v>
      </c>
      <c r="C17" t="s">
        <v>22</v>
      </c>
      <c r="D17" t="s">
        <v>91</v>
      </c>
      <c r="E17" s="2" t="s">
        <v>23</v>
      </c>
      <c r="F17" s="5">
        <v>15</v>
      </c>
      <c r="G17" s="5">
        <f>F17+117</f>
        <v>132</v>
      </c>
      <c r="H17" s="4">
        <v>45952.8125</v>
      </c>
      <c r="I17" s="4">
        <v>45954.256944444445</v>
      </c>
      <c r="J17" t="s">
        <v>31</v>
      </c>
      <c r="K17" s="3">
        <v>10935</v>
      </c>
      <c r="L17">
        <v>20000</v>
      </c>
      <c r="M17">
        <v>117</v>
      </c>
      <c r="N17">
        <v>28</v>
      </c>
    </row>
    <row r="18" spans="2:14" ht="21" x14ac:dyDescent="0.3">
      <c r="B18" s="1" t="s">
        <v>46</v>
      </c>
      <c r="C18" t="s">
        <v>22</v>
      </c>
      <c r="D18" t="s">
        <v>91</v>
      </c>
      <c r="E18" s="2" t="s">
        <v>54</v>
      </c>
      <c r="F18" s="5">
        <v>183</v>
      </c>
      <c r="G18" s="5">
        <f>F18+182</f>
        <v>365</v>
      </c>
      <c r="H18" s="4">
        <v>45953.572916666664</v>
      </c>
      <c r="I18" s="4">
        <v>45963.885416666664</v>
      </c>
      <c r="J18" t="s">
        <v>31</v>
      </c>
      <c r="K18" s="3">
        <v>9914</v>
      </c>
      <c r="L18">
        <v>20000</v>
      </c>
      <c r="M18">
        <v>182</v>
      </c>
      <c r="N18">
        <v>28</v>
      </c>
    </row>
    <row r="19" spans="2:14" ht="21" x14ac:dyDescent="0.3">
      <c r="B19" s="1" t="s">
        <v>47</v>
      </c>
      <c r="C19" t="s">
        <v>22</v>
      </c>
      <c r="D19" t="s">
        <v>92</v>
      </c>
      <c r="E19" s="2" t="s">
        <v>29</v>
      </c>
      <c r="F19" s="5">
        <f>G19-120</f>
        <v>117</v>
      </c>
      <c r="G19" s="5">
        <v>237</v>
      </c>
      <c r="H19" s="4">
        <v>45954.131944444445</v>
      </c>
      <c r="I19" s="4">
        <v>45955.3125</v>
      </c>
      <c r="J19" t="s">
        <v>31</v>
      </c>
      <c r="K19" s="3">
        <v>7394</v>
      </c>
      <c r="L19">
        <v>20000</v>
      </c>
      <c r="M19">
        <v>119</v>
      </c>
      <c r="N19">
        <v>28</v>
      </c>
    </row>
    <row r="20" spans="2:14" ht="21" x14ac:dyDescent="0.3">
      <c r="B20" s="1" t="s">
        <v>35</v>
      </c>
      <c r="C20" t="s">
        <v>22</v>
      </c>
      <c r="D20" t="s">
        <v>92</v>
      </c>
      <c r="E20" s="2" t="s">
        <v>17</v>
      </c>
      <c r="F20" s="5">
        <f>G20-120</f>
        <v>55</v>
      </c>
      <c r="G20" s="5">
        <v>175</v>
      </c>
      <c r="H20" s="4">
        <v>45954.145833333336</v>
      </c>
      <c r="I20" s="4">
        <v>45954.791666666664</v>
      </c>
      <c r="J20" t="s">
        <v>31</v>
      </c>
      <c r="K20" s="3">
        <v>7387</v>
      </c>
      <c r="L20">
        <v>20000</v>
      </c>
      <c r="M20">
        <v>120</v>
      </c>
      <c r="N20">
        <v>28</v>
      </c>
    </row>
    <row r="21" spans="2:14" ht="21" x14ac:dyDescent="0.3">
      <c r="B21" s="1" t="s">
        <v>48</v>
      </c>
      <c r="C21" t="s">
        <v>22</v>
      </c>
      <c r="D21" t="s">
        <v>91</v>
      </c>
      <c r="E21" s="2" t="s">
        <v>23</v>
      </c>
      <c r="F21" s="5">
        <f>G21-125</f>
        <v>75</v>
      </c>
      <c r="G21" s="5">
        <v>200</v>
      </c>
      <c r="H21" s="4">
        <v>45955.173611111109</v>
      </c>
      <c r="I21" s="4">
        <v>45957.243055555555</v>
      </c>
      <c r="J21" t="s">
        <v>31</v>
      </c>
      <c r="K21" s="3">
        <v>8443</v>
      </c>
      <c r="L21">
        <v>20000</v>
      </c>
      <c r="M21">
        <v>125</v>
      </c>
      <c r="N21">
        <v>28</v>
      </c>
    </row>
    <row r="22" spans="2:14" ht="21" x14ac:dyDescent="0.3">
      <c r="B22" s="1" t="s">
        <v>49</v>
      </c>
      <c r="C22" t="s">
        <v>22</v>
      </c>
      <c r="D22" t="s">
        <v>91</v>
      </c>
      <c r="E22" s="2" t="s">
        <v>17</v>
      </c>
      <c r="F22" s="5">
        <f>G22-120</f>
        <v>55</v>
      </c>
      <c r="G22" s="5">
        <v>175</v>
      </c>
      <c r="H22" s="4">
        <v>45955.15625</v>
      </c>
      <c r="I22" s="4">
        <v>45955.861111111109</v>
      </c>
      <c r="J22" t="s">
        <v>31</v>
      </c>
      <c r="K22" s="3">
        <v>4538</v>
      </c>
      <c r="L22">
        <v>20000</v>
      </c>
      <c r="M22">
        <v>120</v>
      </c>
      <c r="N22">
        <v>28</v>
      </c>
    </row>
    <row r="23" spans="2:14" ht="21" x14ac:dyDescent="0.3">
      <c r="B23" s="1" t="s">
        <v>50</v>
      </c>
      <c r="C23" t="s">
        <v>22</v>
      </c>
      <c r="D23" t="s">
        <v>92</v>
      </c>
      <c r="E23" s="2" t="s">
        <v>17</v>
      </c>
      <c r="F23" s="5">
        <f>G23-190</f>
        <v>-15</v>
      </c>
      <c r="G23" s="5">
        <v>175</v>
      </c>
      <c r="H23" s="4">
        <v>45956.927083333336</v>
      </c>
      <c r="I23" s="4">
        <v>45963.854166666664</v>
      </c>
      <c r="J23" t="s">
        <v>31</v>
      </c>
      <c r="K23" s="3">
        <v>38528</v>
      </c>
      <c r="L23">
        <v>20000</v>
      </c>
      <c r="M23">
        <v>190</v>
      </c>
      <c r="N23">
        <v>28</v>
      </c>
    </row>
    <row r="24" spans="2:14" ht="21" x14ac:dyDescent="0.3">
      <c r="B24" s="1" t="s">
        <v>51</v>
      </c>
      <c r="C24" t="s">
        <v>22</v>
      </c>
      <c r="D24" t="s">
        <v>92</v>
      </c>
      <c r="E24" s="2" t="s">
        <v>29</v>
      </c>
      <c r="F24" s="5">
        <v>10</v>
      </c>
      <c r="G24" s="5">
        <f>F24+147</f>
        <v>157</v>
      </c>
      <c r="H24" s="4">
        <v>45958.708333333336</v>
      </c>
      <c r="I24" s="4">
        <v>45959.75</v>
      </c>
      <c r="J24" t="s">
        <v>31</v>
      </c>
      <c r="K24" s="3">
        <v>14943</v>
      </c>
      <c r="L24">
        <v>20000</v>
      </c>
      <c r="M24">
        <v>147</v>
      </c>
      <c r="N24">
        <v>28</v>
      </c>
    </row>
    <row r="25" spans="2:14" ht="21" x14ac:dyDescent="0.3">
      <c r="B25" s="1" t="s">
        <v>52</v>
      </c>
      <c r="C25" t="s">
        <v>22</v>
      </c>
      <c r="D25" t="s">
        <v>91</v>
      </c>
      <c r="E25" s="2" t="s">
        <v>23</v>
      </c>
      <c r="F25" s="5">
        <v>-7</v>
      </c>
      <c r="G25" s="5">
        <f>F25+180</f>
        <v>173</v>
      </c>
      <c r="H25" s="4">
        <v>45959.350694444445</v>
      </c>
      <c r="I25" s="4">
        <v>45962.5</v>
      </c>
      <c r="J25" t="s">
        <v>31</v>
      </c>
      <c r="K25" s="3">
        <v>4337</v>
      </c>
      <c r="L25">
        <v>20000</v>
      </c>
      <c r="M25">
        <v>180</v>
      </c>
      <c r="N25">
        <v>28</v>
      </c>
    </row>
    <row r="26" spans="2:14" ht="21" x14ac:dyDescent="0.3">
      <c r="B26" s="1" t="s">
        <v>37</v>
      </c>
      <c r="C26" t="s">
        <v>22</v>
      </c>
      <c r="D26" t="s">
        <v>91</v>
      </c>
      <c r="E26" s="2" t="s">
        <v>29</v>
      </c>
      <c r="F26" s="5">
        <v>8</v>
      </c>
      <c r="G26" s="5">
        <f>F26+110</f>
        <v>118</v>
      </c>
      <c r="H26" s="4">
        <v>45959.895833333336</v>
      </c>
      <c r="I26" s="4">
        <v>45963.1875</v>
      </c>
      <c r="J26" t="s">
        <v>31</v>
      </c>
      <c r="K26" s="3">
        <v>6157</v>
      </c>
      <c r="L26">
        <v>20000</v>
      </c>
      <c r="M26">
        <v>108</v>
      </c>
      <c r="N26">
        <v>28</v>
      </c>
    </row>
    <row r="27" spans="2:14" ht="21" x14ac:dyDescent="0.3">
      <c r="B27" s="1" t="s">
        <v>53</v>
      </c>
      <c r="C27" t="s">
        <v>22</v>
      </c>
      <c r="D27" t="s">
        <v>92</v>
      </c>
      <c r="E27" s="2" t="s">
        <v>29</v>
      </c>
      <c r="F27" s="5">
        <v>130</v>
      </c>
      <c r="G27" s="5">
        <f>F27+107</f>
        <v>237</v>
      </c>
      <c r="H27" s="4">
        <v>45960.75</v>
      </c>
      <c r="I27" s="4">
        <v>45962.177083333336</v>
      </c>
      <c r="J27" t="s">
        <v>31</v>
      </c>
      <c r="K27" s="3">
        <v>5309</v>
      </c>
      <c r="L27">
        <v>20000</v>
      </c>
      <c r="M27">
        <v>106</v>
      </c>
      <c r="N27">
        <v>28</v>
      </c>
    </row>
    <row r="28" spans="2:14" ht="21" x14ac:dyDescent="0.3">
      <c r="B28" s="6" t="s">
        <v>55</v>
      </c>
      <c r="C28" t="s">
        <v>22</v>
      </c>
      <c r="D28" t="s">
        <v>92</v>
      </c>
      <c r="E28" s="6" t="s">
        <v>54</v>
      </c>
      <c r="F28" s="5">
        <f>G28-150</f>
        <v>183</v>
      </c>
      <c r="G28" s="5">
        <v>333</v>
      </c>
      <c r="H28" s="7">
        <v>45932.291666666657</v>
      </c>
      <c r="I28" s="7">
        <v>45933.125</v>
      </c>
      <c r="J28" t="s">
        <v>18</v>
      </c>
      <c r="K28" t="s">
        <v>65</v>
      </c>
    </row>
    <row r="29" spans="2:14" ht="21" x14ac:dyDescent="0.3">
      <c r="B29" s="6" t="s">
        <v>55</v>
      </c>
      <c r="C29" t="s">
        <v>22</v>
      </c>
      <c r="D29" t="s">
        <v>91</v>
      </c>
      <c r="E29" s="6" t="s">
        <v>64</v>
      </c>
      <c r="F29" s="5">
        <v>350</v>
      </c>
      <c r="G29" s="5">
        <f t="shared" ref="G29:G35" si="0">F29+150</f>
        <v>500</v>
      </c>
      <c r="H29" s="7">
        <v>45940.604166666657</v>
      </c>
      <c r="I29" s="7">
        <v>45941.291666666657</v>
      </c>
      <c r="J29" t="s">
        <v>18</v>
      </c>
      <c r="K29" t="s">
        <v>66</v>
      </c>
    </row>
    <row r="30" spans="2:14" ht="21" x14ac:dyDescent="0.3">
      <c r="B30" s="6" t="s">
        <v>55</v>
      </c>
      <c r="C30" t="s">
        <v>22</v>
      </c>
      <c r="D30" t="s">
        <v>91</v>
      </c>
      <c r="E30" s="6" t="s">
        <v>64</v>
      </c>
      <c r="F30" s="5">
        <v>340</v>
      </c>
      <c r="G30" s="5">
        <f t="shared" si="0"/>
        <v>490</v>
      </c>
      <c r="H30" s="7">
        <v>45948.666666666657</v>
      </c>
      <c r="I30" s="7">
        <v>45949.458333333343</v>
      </c>
      <c r="J30" t="s">
        <v>18</v>
      </c>
      <c r="K30" t="s">
        <v>67</v>
      </c>
    </row>
    <row r="31" spans="2:14" ht="21" x14ac:dyDescent="0.3">
      <c r="B31" s="6" t="s">
        <v>55</v>
      </c>
      <c r="C31" t="s">
        <v>22</v>
      </c>
      <c r="D31" t="s">
        <v>92</v>
      </c>
      <c r="E31" s="6" t="s">
        <v>64</v>
      </c>
      <c r="F31" s="5">
        <v>380</v>
      </c>
      <c r="G31" s="5">
        <f t="shared" si="0"/>
        <v>530</v>
      </c>
      <c r="H31" s="7">
        <v>45958.020833333343</v>
      </c>
      <c r="I31" s="7">
        <v>45958.958333333343</v>
      </c>
      <c r="J31" t="s">
        <v>18</v>
      </c>
      <c r="K31" t="s">
        <v>68</v>
      </c>
    </row>
    <row r="32" spans="2:14" ht="21" x14ac:dyDescent="0.3">
      <c r="B32" s="6" t="s">
        <v>56</v>
      </c>
      <c r="C32" t="s">
        <v>22</v>
      </c>
      <c r="D32" t="s">
        <v>92</v>
      </c>
      <c r="E32" s="6" t="s">
        <v>23</v>
      </c>
      <c r="F32" s="5">
        <v>14</v>
      </c>
      <c r="G32" s="5">
        <f t="shared" si="0"/>
        <v>164</v>
      </c>
      <c r="H32" s="7">
        <v>45932.916666666657</v>
      </c>
      <c r="I32" s="7">
        <v>45934.479166666657</v>
      </c>
      <c r="J32" t="s">
        <v>18</v>
      </c>
      <c r="K32" t="s">
        <v>69</v>
      </c>
    </row>
    <row r="33" spans="2:11" ht="21" x14ac:dyDescent="0.3">
      <c r="B33" s="6" t="s">
        <v>56</v>
      </c>
      <c r="C33" t="s">
        <v>22</v>
      </c>
      <c r="D33" t="s">
        <v>91</v>
      </c>
      <c r="E33" s="6" t="s">
        <v>64</v>
      </c>
      <c r="F33" s="5">
        <v>350</v>
      </c>
      <c r="G33" s="5">
        <f t="shared" si="0"/>
        <v>500</v>
      </c>
      <c r="H33" s="7">
        <v>45943.0625</v>
      </c>
      <c r="I33" s="7">
        <v>45943.979166666657</v>
      </c>
      <c r="J33" t="s">
        <v>18</v>
      </c>
      <c r="K33" t="s">
        <v>70</v>
      </c>
    </row>
    <row r="34" spans="2:11" ht="21" x14ac:dyDescent="0.3">
      <c r="B34" s="6" t="s">
        <v>56</v>
      </c>
      <c r="C34" t="s">
        <v>22</v>
      </c>
      <c r="D34" t="s">
        <v>91</v>
      </c>
      <c r="E34" s="6" t="s">
        <v>54</v>
      </c>
      <c r="F34" s="5">
        <v>200</v>
      </c>
      <c r="G34" s="5">
        <f t="shared" si="0"/>
        <v>350</v>
      </c>
      <c r="H34" s="7">
        <v>45950.041666666657</v>
      </c>
      <c r="I34" s="7">
        <v>45951.041666666657</v>
      </c>
      <c r="J34" t="s">
        <v>18</v>
      </c>
      <c r="K34" t="s">
        <v>71</v>
      </c>
    </row>
    <row r="35" spans="2:11" ht="21" x14ac:dyDescent="0.3">
      <c r="B35" s="6" t="s">
        <v>56</v>
      </c>
      <c r="C35" t="s">
        <v>22</v>
      </c>
      <c r="D35" t="s">
        <v>92</v>
      </c>
      <c r="E35" s="6" t="s">
        <v>64</v>
      </c>
      <c r="F35" s="5">
        <v>380</v>
      </c>
      <c r="G35" s="5">
        <f t="shared" si="0"/>
        <v>530</v>
      </c>
      <c r="H35" s="7">
        <v>45959</v>
      </c>
      <c r="I35" s="7">
        <v>45959.666666666657</v>
      </c>
      <c r="J35" t="s">
        <v>18</v>
      </c>
      <c r="K35" t="s">
        <v>72</v>
      </c>
    </row>
    <row r="36" spans="2:11" ht="21" x14ac:dyDescent="0.3">
      <c r="B36" s="6" t="s">
        <v>57</v>
      </c>
      <c r="C36" t="s">
        <v>22</v>
      </c>
      <c r="D36" t="s">
        <v>92</v>
      </c>
      <c r="E36" s="6" t="s">
        <v>64</v>
      </c>
      <c r="F36" s="5">
        <v>355</v>
      </c>
      <c r="G36" s="5">
        <f>F36+121</f>
        <v>476</v>
      </c>
      <c r="H36" s="7">
        <v>45934</v>
      </c>
      <c r="I36" s="7">
        <v>45934.9375</v>
      </c>
      <c r="J36" t="s">
        <v>18</v>
      </c>
      <c r="K36" t="s">
        <v>73</v>
      </c>
    </row>
    <row r="37" spans="2:11" ht="21" x14ac:dyDescent="0.3">
      <c r="B37" s="6" t="s">
        <v>57</v>
      </c>
      <c r="C37" t="s">
        <v>22</v>
      </c>
      <c r="D37" t="s">
        <v>91</v>
      </c>
      <c r="E37" s="6" t="s">
        <v>64</v>
      </c>
      <c r="F37" s="5">
        <v>355</v>
      </c>
      <c r="G37" s="5">
        <f>F37+121</f>
        <v>476</v>
      </c>
      <c r="H37" s="7">
        <v>45941.666666666657</v>
      </c>
      <c r="I37" s="7">
        <v>45942.166666666657</v>
      </c>
      <c r="J37" t="s">
        <v>18</v>
      </c>
      <c r="K37" t="s">
        <v>74</v>
      </c>
    </row>
    <row r="38" spans="2:11" ht="21" x14ac:dyDescent="0.3">
      <c r="B38" s="6" t="s">
        <v>57</v>
      </c>
      <c r="C38" t="s">
        <v>22</v>
      </c>
      <c r="D38" t="s">
        <v>91</v>
      </c>
      <c r="E38" s="6" t="s">
        <v>54</v>
      </c>
      <c r="F38" s="5">
        <f>G38-121</f>
        <v>199</v>
      </c>
      <c r="G38" s="5">
        <v>320</v>
      </c>
      <c r="H38" s="7">
        <v>45949.208333333343</v>
      </c>
      <c r="I38" s="7">
        <v>45949.916666666657</v>
      </c>
      <c r="J38" t="s">
        <v>18</v>
      </c>
      <c r="K38" t="s">
        <v>75</v>
      </c>
    </row>
    <row r="39" spans="2:11" ht="21" x14ac:dyDescent="0.3">
      <c r="B39" s="6" t="s">
        <v>57</v>
      </c>
      <c r="C39" t="s">
        <v>22</v>
      </c>
      <c r="D39" t="s">
        <v>92</v>
      </c>
      <c r="E39" s="6" t="s">
        <v>64</v>
      </c>
      <c r="F39" s="5">
        <v>380</v>
      </c>
      <c r="G39" s="5">
        <f>F39+121</f>
        <v>501</v>
      </c>
      <c r="H39" s="7">
        <v>45960.770833333343</v>
      </c>
      <c r="I39" s="7">
        <v>45961.291666666657</v>
      </c>
      <c r="J39" t="s">
        <v>18</v>
      </c>
      <c r="K39" t="s">
        <v>76</v>
      </c>
    </row>
    <row r="40" spans="2:11" ht="21" x14ac:dyDescent="0.3">
      <c r="B40" s="6" t="s">
        <v>58</v>
      </c>
      <c r="C40" t="s">
        <v>22</v>
      </c>
      <c r="D40" t="s">
        <v>92</v>
      </c>
      <c r="E40" s="6" t="s">
        <v>64</v>
      </c>
      <c r="F40" s="5">
        <f>G40-124</f>
        <v>186</v>
      </c>
      <c r="G40" s="5">
        <v>310</v>
      </c>
      <c r="H40" s="7">
        <v>45942.375</v>
      </c>
      <c r="I40" s="7">
        <v>45943</v>
      </c>
      <c r="J40" t="s">
        <v>18</v>
      </c>
      <c r="K40" t="s">
        <v>77</v>
      </c>
    </row>
    <row r="41" spans="2:11" ht="21" x14ac:dyDescent="0.3">
      <c r="B41" s="6" t="s">
        <v>58</v>
      </c>
      <c r="C41" t="s">
        <v>22</v>
      </c>
      <c r="D41" t="s">
        <v>91</v>
      </c>
      <c r="E41" s="6" t="s">
        <v>64</v>
      </c>
      <c r="F41" s="5">
        <v>370</v>
      </c>
      <c r="G41" s="5">
        <f>F41+124</f>
        <v>494</v>
      </c>
      <c r="H41" s="7">
        <v>45949.520833333343</v>
      </c>
      <c r="I41" s="7">
        <v>45951.1875</v>
      </c>
      <c r="J41" t="s">
        <v>18</v>
      </c>
      <c r="K41" t="s">
        <v>78</v>
      </c>
    </row>
    <row r="42" spans="2:11" ht="21" x14ac:dyDescent="0.3">
      <c r="B42" s="6" t="s">
        <v>58</v>
      </c>
      <c r="C42" t="s">
        <v>22</v>
      </c>
      <c r="D42" t="s">
        <v>91</v>
      </c>
      <c r="E42" s="6" t="s">
        <v>23</v>
      </c>
      <c r="F42" s="5">
        <v>14</v>
      </c>
      <c r="G42" s="5">
        <f>F42+124</f>
        <v>138</v>
      </c>
      <c r="H42" s="7">
        <v>45958.75</v>
      </c>
      <c r="I42" s="7">
        <v>45959.25</v>
      </c>
      <c r="J42" t="s">
        <v>18</v>
      </c>
      <c r="K42" t="s">
        <v>79</v>
      </c>
    </row>
    <row r="43" spans="2:11" ht="21" x14ac:dyDescent="0.3">
      <c r="B43" s="6" t="s">
        <v>59</v>
      </c>
      <c r="C43" t="s">
        <v>22</v>
      </c>
      <c r="D43" t="s">
        <v>92</v>
      </c>
      <c r="E43" s="6" t="s">
        <v>64</v>
      </c>
      <c r="F43" s="5">
        <v>355</v>
      </c>
      <c r="G43" s="5">
        <f>F43+119</f>
        <v>474</v>
      </c>
      <c r="H43" s="7">
        <v>45932.291666666657</v>
      </c>
      <c r="I43" s="7">
        <v>45932.791666666657</v>
      </c>
      <c r="J43" t="s">
        <v>18</v>
      </c>
      <c r="K43" t="s">
        <v>80</v>
      </c>
    </row>
    <row r="44" spans="2:11" ht="21" x14ac:dyDescent="0.3">
      <c r="B44" s="6" t="s">
        <v>59</v>
      </c>
      <c r="C44" t="s">
        <v>22</v>
      </c>
      <c r="D44" t="s">
        <v>92</v>
      </c>
      <c r="E44" s="6" t="s">
        <v>54</v>
      </c>
      <c r="F44" s="5">
        <f>G44-119</f>
        <v>191</v>
      </c>
      <c r="G44" s="5">
        <v>310</v>
      </c>
      <c r="H44" s="7">
        <v>45940.083333333343</v>
      </c>
      <c r="I44" s="7">
        <v>45940.583333333343</v>
      </c>
      <c r="J44" t="s">
        <v>18</v>
      </c>
      <c r="K44" t="s">
        <v>81</v>
      </c>
    </row>
    <row r="45" spans="2:11" ht="21" x14ac:dyDescent="0.3">
      <c r="B45" s="6" t="s">
        <v>59</v>
      </c>
      <c r="C45" t="s">
        <v>22</v>
      </c>
      <c r="D45" t="s">
        <v>91</v>
      </c>
      <c r="E45" s="6" t="s">
        <v>64</v>
      </c>
      <c r="F45" s="5">
        <v>365</v>
      </c>
      <c r="G45" s="5">
        <f>F45+119</f>
        <v>484</v>
      </c>
      <c r="H45" s="7">
        <v>45947.541666666657</v>
      </c>
      <c r="I45" s="7">
        <v>45948.145833333343</v>
      </c>
      <c r="J45" t="s">
        <v>18</v>
      </c>
      <c r="K45" t="s">
        <v>82</v>
      </c>
    </row>
    <row r="46" spans="2:11" ht="21" x14ac:dyDescent="0.3">
      <c r="B46" s="6" t="s">
        <v>59</v>
      </c>
      <c r="C46" t="s">
        <v>22</v>
      </c>
      <c r="D46" t="s">
        <v>91</v>
      </c>
      <c r="E46" s="6" t="s">
        <v>64</v>
      </c>
      <c r="F46" s="5">
        <v>380</v>
      </c>
      <c r="G46" s="5">
        <f>F46+119</f>
        <v>499</v>
      </c>
      <c r="H46" s="7">
        <v>45955.6875</v>
      </c>
      <c r="I46" s="7">
        <v>45956.229166666657</v>
      </c>
      <c r="J46" t="s">
        <v>18</v>
      </c>
      <c r="K46" t="s">
        <v>83</v>
      </c>
    </row>
    <row r="47" spans="2:11" ht="21" x14ac:dyDescent="0.3">
      <c r="B47" s="6" t="s">
        <v>60</v>
      </c>
      <c r="C47" t="s">
        <v>22</v>
      </c>
      <c r="D47" t="s">
        <v>92</v>
      </c>
      <c r="E47" s="6" t="s">
        <v>54</v>
      </c>
      <c r="F47" s="5">
        <f>G47-124</f>
        <v>186</v>
      </c>
      <c r="G47" s="5">
        <v>310</v>
      </c>
      <c r="H47" s="7">
        <v>45934.0625</v>
      </c>
      <c r="I47" s="7">
        <v>45934.9375</v>
      </c>
      <c r="J47" t="s">
        <v>18</v>
      </c>
      <c r="K47" t="s">
        <v>82</v>
      </c>
    </row>
    <row r="48" spans="2:11" ht="21" x14ac:dyDescent="0.3">
      <c r="B48" s="6" t="s">
        <v>62</v>
      </c>
      <c r="C48" t="s">
        <v>22</v>
      </c>
      <c r="D48" t="s">
        <v>92</v>
      </c>
      <c r="E48" s="6" t="s">
        <v>54</v>
      </c>
      <c r="F48" s="5">
        <f>G48-100</f>
        <v>210</v>
      </c>
      <c r="G48" s="5">
        <v>310</v>
      </c>
      <c r="H48" s="7">
        <v>45937.041666666657</v>
      </c>
      <c r="I48" s="7">
        <v>45937.5</v>
      </c>
      <c r="J48" t="s">
        <v>18</v>
      </c>
      <c r="K48" t="s">
        <v>84</v>
      </c>
    </row>
    <row r="49" spans="2:11" ht="21" x14ac:dyDescent="0.3">
      <c r="B49" s="6" t="s">
        <v>61</v>
      </c>
      <c r="C49" t="s">
        <v>22</v>
      </c>
      <c r="D49" t="s">
        <v>91</v>
      </c>
      <c r="E49" s="6" t="s">
        <v>64</v>
      </c>
      <c r="F49" s="5">
        <v>365</v>
      </c>
      <c r="G49" s="5">
        <f>F49+100</f>
        <v>465</v>
      </c>
      <c r="H49" s="7">
        <v>45946.458333333343</v>
      </c>
      <c r="I49" s="7">
        <v>45946.875</v>
      </c>
      <c r="J49" t="s">
        <v>18</v>
      </c>
      <c r="K49" t="s">
        <v>85</v>
      </c>
    </row>
    <row r="50" spans="2:11" ht="21" x14ac:dyDescent="0.3">
      <c r="B50" s="6" t="s">
        <v>61</v>
      </c>
      <c r="C50" t="s">
        <v>22</v>
      </c>
      <c r="D50" t="s">
        <v>91</v>
      </c>
      <c r="E50" s="6" t="s">
        <v>23</v>
      </c>
      <c r="F50" s="5">
        <v>15</v>
      </c>
      <c r="G50" s="5">
        <f>F50+100</f>
        <v>115</v>
      </c>
      <c r="H50" s="7">
        <v>45957.875</v>
      </c>
      <c r="I50" s="7">
        <v>45958.625</v>
      </c>
      <c r="J50" t="s">
        <v>18</v>
      </c>
      <c r="K50" t="s">
        <v>86</v>
      </c>
    </row>
    <row r="51" spans="2:11" ht="21" x14ac:dyDescent="0.3">
      <c r="B51" s="6" t="s">
        <v>63</v>
      </c>
      <c r="C51" t="s">
        <v>22</v>
      </c>
      <c r="D51" t="s">
        <v>92</v>
      </c>
      <c r="E51" s="6" t="s">
        <v>64</v>
      </c>
      <c r="F51" s="5">
        <v>355</v>
      </c>
      <c r="G51" s="5">
        <f>F51+121</f>
        <v>476</v>
      </c>
      <c r="H51" s="7">
        <v>45936.541666666657</v>
      </c>
      <c r="I51" s="7">
        <v>45936.958333333343</v>
      </c>
      <c r="J51" t="s">
        <v>18</v>
      </c>
      <c r="K51" t="s">
        <v>87</v>
      </c>
    </row>
    <row r="52" spans="2:11" ht="21" x14ac:dyDescent="0.3">
      <c r="B52" s="6" t="s">
        <v>63</v>
      </c>
      <c r="C52" t="s">
        <v>22</v>
      </c>
      <c r="D52" t="s">
        <v>92</v>
      </c>
      <c r="E52" s="6" t="s">
        <v>64</v>
      </c>
      <c r="F52" s="5">
        <v>370</v>
      </c>
      <c r="G52" s="5">
        <f>F52+121</f>
        <v>491</v>
      </c>
      <c r="H52" s="7">
        <v>45944.166666666657</v>
      </c>
      <c r="I52" s="7">
        <v>45945.041666666657</v>
      </c>
      <c r="J52" t="s">
        <v>18</v>
      </c>
      <c r="K52" t="s">
        <v>88</v>
      </c>
    </row>
    <row r="53" spans="2:11" ht="21" x14ac:dyDescent="0.3">
      <c r="B53" s="6" t="s">
        <v>63</v>
      </c>
      <c r="C53" t="s">
        <v>22</v>
      </c>
      <c r="D53" t="s">
        <v>91</v>
      </c>
      <c r="E53" s="6" t="s">
        <v>64</v>
      </c>
      <c r="F53" s="5">
        <v>380</v>
      </c>
      <c r="G53" s="5">
        <f>F53+121</f>
        <v>501</v>
      </c>
      <c r="H53" s="7">
        <v>45953.625</v>
      </c>
      <c r="I53" s="7">
        <v>45954.25</v>
      </c>
      <c r="J53" t="s">
        <v>18</v>
      </c>
      <c r="K53" t="s">
        <v>89</v>
      </c>
    </row>
  </sheetData>
  <pageMargins left="0.7" right="0.7" top="0.75" bottom="0.75" header="0.3" footer="0.3"/>
  <ignoredErrors>
    <ignoredError sqref="E1:Q1 A2:A5 L2:Q5 A1: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Hoang</cp:lastModifiedBy>
  <dcterms:modified xsi:type="dcterms:W3CDTF">2025-11-10T06:55:12Z</dcterms:modified>
</cp:coreProperties>
</file>